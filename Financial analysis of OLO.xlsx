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jpe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ninja\OneDrive\Desktop\WSO Templates 21.7\"/>
    </mc:Choice>
  </mc:AlternateContent>
  <xr:revisionPtr revIDLastSave="0" documentId="8_{ADC0AB9A-7BE5-42C1-8F1A-E78B1DABE866}" xr6:coauthVersionLast="47" xr6:coauthVersionMax="47" xr10:uidLastSave="{00000000-0000-0000-0000-000000000000}"/>
  <bookViews>
    <workbookView xWindow="-90" yWindow="-90" windowWidth="19380" windowHeight="10380" tabRatio="684" firstSheet="5" activeTab="5" xr2:uid="{00000000-000D-0000-FFFF-FFFF00000000}"/>
  </bookViews>
  <sheets>
    <sheet name="COVER" sheetId="16" r:id="rId1"/>
    <sheet name="Income Statement" sheetId="1" r:id="rId2"/>
    <sheet name="Balance Sheet" sheetId="4" r:id="rId3"/>
    <sheet name="Cash Flow" sheetId="5" r:id="rId4"/>
    <sheet name="DCF" sheetId="7" r:id="rId5"/>
    <sheet name="WACC Calculation" sheetId="6" r:id="rId6"/>
    <sheet name="Football Field" sheetId="13" state="hidden" r:id="rId7"/>
    <sheet name="Charts" sheetId="14" state="hidden" r:id="rId8"/>
  </sheets>
  <definedNames>
    <definedName name="_xlnm._FilterDatabase" localSheetId="1" hidden="1">'Income Statement'!$Y$3:$Z$26</definedName>
    <definedName name="_xlnm.Print_Area" localSheetId="2">'Balance Sheet'!$A$1:$V$101</definedName>
    <definedName name="_xlnm.Print_Area" localSheetId="4">DCF!$A$1:$M$36,DCF!$O$37:$U$43</definedName>
    <definedName name="_xlnm.Print_Area" localSheetId="1">'Income Statement'!$A$1:$Z$38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4" i="7" l="1"/>
  <c r="C42" i="7"/>
  <c r="C39" i="7"/>
  <c r="D39" i="7"/>
  <c r="C26" i="7"/>
  <c r="C11" i="6"/>
  <c r="C6" i="6"/>
  <c r="D18" i="7"/>
  <c r="F18" i="7"/>
  <c r="H18" i="7"/>
  <c r="J18" i="7"/>
  <c r="Q18" i="7"/>
  <c r="L18" i="7"/>
  <c r="L16" i="7"/>
  <c r="L22" i="7" s="1"/>
  <c r="J16" i="7"/>
  <c r="H16" i="7"/>
  <c r="F16" i="7"/>
  <c r="D16" i="7"/>
  <c r="N37" i="4"/>
  <c r="L37" i="4"/>
  <c r="J37" i="4"/>
  <c r="H37" i="4"/>
  <c r="F37" i="4"/>
  <c r="F35" i="4"/>
  <c r="N35" i="4"/>
  <c r="L35" i="4"/>
  <c r="J35" i="4"/>
  <c r="H35" i="4"/>
  <c r="H30" i="4"/>
  <c r="J30" i="4"/>
  <c r="L30" i="4"/>
  <c r="N30" i="4"/>
  <c r="F30" i="4"/>
  <c r="N28" i="4"/>
  <c r="L28" i="4"/>
  <c r="J28" i="4"/>
  <c r="H28" i="4"/>
  <c r="F28" i="4"/>
  <c r="N26" i="4"/>
  <c r="L26" i="4"/>
  <c r="J26" i="4"/>
  <c r="H26" i="4"/>
  <c r="F26" i="4"/>
  <c r="Q32" i="1"/>
  <c r="N32" i="1"/>
  <c r="K32" i="1"/>
  <c r="H32" i="1"/>
  <c r="E32" i="1"/>
  <c r="Q30" i="1"/>
  <c r="N30" i="1"/>
  <c r="E30" i="1"/>
  <c r="X12" i="1"/>
  <c r="X13" i="1" s="1"/>
  <c r="R12" i="1"/>
  <c r="O12" i="1"/>
  <c r="F12" i="1"/>
  <c r="K12" i="1"/>
  <c r="H12" i="1"/>
  <c r="Q28" i="1"/>
  <c r="N28" i="1"/>
  <c r="K28" i="1"/>
  <c r="H28" i="1"/>
  <c r="E28" i="1"/>
  <c r="R15" i="1"/>
  <c r="R18" i="1"/>
  <c r="R21" i="1"/>
  <c r="R9" i="1"/>
  <c r="O15" i="1"/>
  <c r="O18" i="1"/>
  <c r="O21" i="1"/>
  <c r="O9" i="1"/>
  <c r="L15" i="1"/>
  <c r="L18" i="1"/>
  <c r="L21" i="1"/>
  <c r="L9" i="1"/>
  <c r="I15" i="1"/>
  <c r="I18" i="1"/>
  <c r="I21" i="1"/>
  <c r="I9" i="1"/>
  <c r="F15" i="1"/>
  <c r="F18" i="1"/>
  <c r="F21" i="1"/>
  <c r="F9" i="1"/>
  <c r="X22" i="1"/>
  <c r="W22" i="1"/>
  <c r="W23" i="1" s="1"/>
  <c r="V22" i="1"/>
  <c r="U22" i="1"/>
  <c r="U23" i="1" s="1"/>
  <c r="X18" i="1"/>
  <c r="W18" i="1"/>
  <c r="V18" i="1"/>
  <c r="V20" i="1" s="1"/>
  <c r="U18" i="1"/>
  <c r="U20" i="1" s="1"/>
  <c r="X15" i="1"/>
  <c r="W15" i="1"/>
  <c r="V15" i="1"/>
  <c r="V16" i="1" s="1"/>
  <c r="U15" i="1"/>
  <c r="U16" i="1" s="1"/>
  <c r="X9" i="1"/>
  <c r="W9" i="1"/>
  <c r="V9" i="1"/>
  <c r="V10" i="1" s="1"/>
  <c r="U9" i="1"/>
  <c r="U10" i="1"/>
  <c r="J22" i="4"/>
  <c r="D105" i="4"/>
  <c r="E104" i="4"/>
  <c r="F104" i="4"/>
  <c r="H104" i="4"/>
  <c r="J104" i="4"/>
  <c r="D107" i="4"/>
  <c r="E106" i="4"/>
  <c r="F106" i="4"/>
  <c r="H106" i="4"/>
  <c r="J106" i="4"/>
  <c r="D2" i="14"/>
  <c r="E2" i="14"/>
  <c r="F2" i="14"/>
  <c r="G2" i="14"/>
  <c r="H2" i="14"/>
  <c r="E8" i="13"/>
  <c r="E15" i="13"/>
  <c r="D16" i="13"/>
  <c r="D15" i="13"/>
  <c r="D14" i="13"/>
  <c r="C17" i="13"/>
  <c r="C16" i="13"/>
  <c r="C15" i="13"/>
  <c r="C14" i="13"/>
  <c r="E9" i="13"/>
  <c r="E14" i="13"/>
  <c r="E7" i="13"/>
  <c r="E16" i="13"/>
  <c r="A4" i="7"/>
  <c r="G5" i="7"/>
  <c r="H5" i="7"/>
  <c r="I5" i="7"/>
  <c r="J5" i="7"/>
  <c r="K5" i="7"/>
  <c r="L5" i="7"/>
  <c r="M5" i="7"/>
  <c r="B3" i="14"/>
  <c r="D4" i="13"/>
  <c r="K22" i="13"/>
  <c r="J22" i="13"/>
  <c r="J6" i="13"/>
  <c r="B4" i="14"/>
  <c r="F24" i="13"/>
  <c r="D24" i="13"/>
  <c r="D22" i="13"/>
  <c r="F23" i="13"/>
  <c r="D23" i="13"/>
  <c r="F22" i="13"/>
  <c r="E3" i="14"/>
  <c r="H3" i="14"/>
  <c r="D3" i="14"/>
  <c r="G3" i="14"/>
  <c r="C3" i="14"/>
  <c r="F3" i="14"/>
  <c r="F6" i="13"/>
  <c r="D6" i="13"/>
  <c r="D17" i="13"/>
  <c r="D21" i="13"/>
  <c r="E6" i="13"/>
  <c r="E17" i="13"/>
  <c r="F21" i="13"/>
  <c r="G4" i="14"/>
  <c r="C4" i="14"/>
  <c r="F4" i="14"/>
  <c r="E4" i="14"/>
  <c r="H4" i="14"/>
  <c r="D4" i="14"/>
  <c r="G30" i="7" l="1"/>
  <c r="G31" i="7" s="1"/>
  <c r="F30" i="7"/>
  <c r="F31" i="7" s="1"/>
  <c r="E30" i="7"/>
  <c r="E31" i="7" s="1"/>
  <c r="D30" i="7"/>
  <c r="D31" i="7" s="1"/>
  <c r="C30" i="7"/>
  <c r="C31" i="7" s="1"/>
  <c r="E39" i="7"/>
  <c r="D40" i="7"/>
  <c r="C40" i="7"/>
  <c r="J19" i="7"/>
  <c r="J22" i="7" s="1"/>
  <c r="H19" i="7"/>
  <c r="H22" i="7" s="1"/>
  <c r="F19" i="7"/>
  <c r="F22" i="7" s="1" a="1"/>
  <c r="F22" i="7" s="1"/>
  <c r="D19" i="7"/>
  <c r="D22" i="7" s="1" a="1"/>
  <c r="D22" i="7" s="1"/>
  <c r="I12" i="1"/>
  <c r="H30" i="1"/>
  <c r="V12" i="1"/>
  <c r="U12" i="1"/>
  <c r="L12" i="1"/>
  <c r="K30" i="1"/>
  <c r="W12" i="1"/>
  <c r="W13" i="1" s="1"/>
  <c r="Z9" i="1"/>
  <c r="Y9" i="1"/>
  <c r="Z15" i="1"/>
  <c r="Y15" i="1"/>
  <c r="Z18" i="1"/>
  <c r="Y18" i="1"/>
  <c r="Z22" i="1"/>
  <c r="Y22" i="1"/>
  <c r="W16" i="1"/>
  <c r="Z16" i="1" s="1"/>
  <c r="W20" i="1"/>
  <c r="Z20" i="1" s="1"/>
  <c r="V23" i="1"/>
  <c r="W10" i="1"/>
  <c r="Z10" i="1" s="1"/>
  <c r="X10" i="1"/>
  <c r="Y10" i="1" s="1"/>
  <c r="X16" i="1"/>
  <c r="Y16" i="1" s="1"/>
  <c r="X20" i="1"/>
  <c r="Y20" i="1" s="1"/>
  <c r="X23" i="1"/>
  <c r="F39" i="7" l="1"/>
  <c r="E40" i="7"/>
  <c r="U13" i="1"/>
  <c r="Y12" i="1"/>
  <c r="V13" i="1"/>
  <c r="Z12" i="1"/>
  <c r="Y23" i="1"/>
  <c r="Z23" i="1"/>
  <c r="G39" i="7" l="1"/>
  <c r="F40" i="7"/>
  <c r="G40" i="7" l="1"/>
  <c r="C33" i="7" s="1"/>
  <c r="C35" i="7"/>
  <c r="C3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D7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Balancing Figure</t>
        </r>
      </text>
    </comment>
    <comment ref="D8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Assumed a current ration of 3:1 (average of processed food industry and Dairy/Juice in GCC)</t>
        </r>
      </text>
    </comment>
    <comment ref="L9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  <comment ref="L9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  <comment ref="L100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6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Assumed a hurdle rate of 15% as the proposal is evaluated from the perspective of a private equity player</t>
        </r>
      </text>
    </comment>
    <comment ref="G6" authorId="0" shapeId="0" xr:uid="{3BD274A0-2C7A-4B49-89F8-6705FC22A025}">
      <text>
        <r>
          <rPr>
            <b/>
            <sz val="9"/>
            <color indexed="81"/>
            <rFont val="Tahoma"/>
            <family val="2"/>
          </rPr>
          <t>Assumed a hurdle rate of 15% as the proposal is evaluated from the perspective of a private equity player</t>
        </r>
      </text>
    </comment>
    <comment ref="L6" authorId="0" shapeId="0" xr:uid="{A8A291C4-8955-45CC-AE1B-F2A91242456A}">
      <text>
        <r>
          <rPr>
            <b/>
            <sz val="9"/>
            <color indexed="81"/>
            <rFont val="Tahoma"/>
            <family val="2"/>
          </rPr>
          <t>Assumed a hurdle rate of 15% as the proposal is evaluated from the perspective of a private equity player</t>
        </r>
      </text>
    </comment>
    <comment ref="P6" authorId="0" shapeId="0" xr:uid="{18E08520-6CDD-49DE-A4D5-E42CC13C7EF4}">
      <text>
        <r>
          <rPr>
            <b/>
            <sz val="9"/>
            <color indexed="81"/>
            <rFont val="Tahoma"/>
            <family val="2"/>
          </rPr>
          <t>Assumed a hurdle rate of 15% as the proposal is evaluated from the perspective of a private equity player</t>
        </r>
      </text>
    </comment>
    <comment ref="U6" authorId="0" shapeId="0" xr:uid="{CD11398A-F7E4-4B88-A17F-4DA84B306E38}">
      <text>
        <r>
          <rPr>
            <b/>
            <sz val="9"/>
            <color indexed="81"/>
            <rFont val="Tahoma"/>
            <family val="2"/>
          </rPr>
          <t>Assumed a hurdle rate of 15% as the proposal is evaluated from the perspective of a private equity player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<sst xmlns="http://schemas.openxmlformats.org/spreadsheetml/2006/main" count="171" uniqueCount="155">
  <si>
    <t>Financial analysis of OLO Inc.</t>
  </si>
  <si>
    <t>By Cristian Vasquez</t>
  </si>
  <si>
    <t>Income Statement, Balance Sheet &amp; Cash Flow Analysis
Forecasting and DCF Valuation</t>
  </si>
  <si>
    <t>Dollar change and percent change</t>
  </si>
  <si>
    <t xml:space="preserve">
</t>
  </si>
  <si>
    <t>VERTICAL ANALYSIS</t>
  </si>
  <si>
    <t>(HORIZONTAL  ANALYSIS)</t>
  </si>
  <si>
    <t>Year Ended December 31,</t>
  </si>
  <si>
    <t>VA</t>
  </si>
  <si>
    <t>24/23</t>
  </si>
  <si>
    <t>23/22</t>
  </si>
  <si>
    <t>22/21</t>
  </si>
  <si>
    <t>21/20</t>
  </si>
  <si>
    <t xml:space="preserve">Mean </t>
  </si>
  <si>
    <t xml:space="preserve">Median </t>
  </si>
  <si>
    <t>Revenue:</t>
  </si>
  <si>
    <t>Total revenue</t>
  </si>
  <si>
    <t>284,938</t>
  </si>
  <si>
    <t>228,289</t>
  </si>
  <si>
    <t>185,404</t>
  </si>
  <si>
    <t>149,368</t>
  </si>
  <si>
    <t>98,424</t>
  </si>
  <si>
    <t>Total cost of rev</t>
  </si>
  <si>
    <t>128,515</t>
  </si>
  <si>
    <t>30,380</t>
  </si>
  <si>
    <t>18,668</t>
  </si>
  <si>
    <t>Gross Profit</t>
  </si>
  <si>
    <t>156,423</t>
  </si>
  <si>
    <t>138,966</t>
  </si>
  <si>
    <t>126,938</t>
  </si>
  <si>
    <t>117,995</t>
  </si>
  <si>
    <t>79,756</t>
  </si>
  <si>
    <t>Operating expenses:</t>
  </si>
  <si>
    <t>Total operating expenses</t>
  </si>
  <si>
    <t>175,564</t>
  </si>
  <si>
    <t>214,050</t>
  </si>
  <si>
    <t>179,557</t>
  </si>
  <si>
    <t>146,514</t>
  </si>
  <si>
    <t>63,661</t>
  </si>
  <si>
    <t>Net (loss) income and comprehensive (loss) income</t>
  </si>
  <si>
    <t>(85,300)</t>
  </si>
  <si>
    <t>(58,049)</t>
  </si>
  <si>
    <t>(45,968)</t>
  </si>
  <si>
    <t>(42,273)</t>
  </si>
  <si>
    <t>3,063</t>
  </si>
  <si>
    <t>RATIO ANALYSIS</t>
  </si>
  <si>
    <t>GPM</t>
  </si>
  <si>
    <t>OPM</t>
  </si>
  <si>
    <t>Net Margin</t>
  </si>
  <si>
    <t>Balance Sheet</t>
  </si>
  <si>
    <t xml:space="preserve">As of decmeber 30th, </t>
  </si>
  <si>
    <t>Dates</t>
  </si>
  <si>
    <t>2024</t>
  </si>
  <si>
    <t>2023</t>
  </si>
  <si>
    <t>2022</t>
  </si>
  <si>
    <t>2021</t>
  </si>
  <si>
    <t>2020</t>
  </si>
  <si>
    <t xml:space="preserve"> </t>
  </si>
  <si>
    <t>Assets</t>
  </si>
  <si>
    <t>As of December 31, 2020</t>
  </si>
  <si>
    <t>ASSETS</t>
  </si>
  <si>
    <t>Current assets:</t>
  </si>
  <si>
    <t xml:space="preserve">Cash and cash equivalents  </t>
  </si>
  <si>
    <t>Total assets</t>
  </si>
  <si>
    <t>LIABILITIES, REDEEMABLE CONVERTIBLE PREFERRED STOCK AND STOCKHOLDERS’ EQUITY (DEFICIT)</t>
  </si>
  <si>
    <t>Current liabilities:</t>
  </si>
  <si>
    <t>Total liabilities</t>
  </si>
  <si>
    <t>Total stockholders’ equity (deficit)</t>
  </si>
  <si>
    <t>Total liabilities, redeemable convertible preferred stock and stockholders’ equity (deficit)</t>
  </si>
  <si>
    <t xml:space="preserve">Current ratio </t>
  </si>
  <si>
    <t>Debt to equity</t>
  </si>
  <si>
    <t>Debt ratio</t>
  </si>
  <si>
    <t xml:space="preserve">Asset turnover </t>
  </si>
  <si>
    <t>ROA</t>
  </si>
  <si>
    <t>Total Assets</t>
  </si>
  <si>
    <t>Liabilities</t>
  </si>
  <si>
    <t>Shareholders' Funds</t>
  </si>
  <si>
    <t>Equity Share Capital</t>
  </si>
  <si>
    <t>Retained Earnings</t>
  </si>
  <si>
    <t>Long Term Debt</t>
  </si>
  <si>
    <t>Current Liabilities</t>
  </si>
  <si>
    <t>Accounts Payables</t>
  </si>
  <si>
    <t>Total Liabilities</t>
  </si>
  <si>
    <t>Check</t>
  </si>
  <si>
    <t>Current Ratio</t>
  </si>
  <si>
    <t>Industry Average - GCC</t>
  </si>
  <si>
    <t>Assumed Current Ratio of Company</t>
  </si>
  <si>
    <t>Assumed Current Assets</t>
  </si>
  <si>
    <t>Balance Cash</t>
  </si>
  <si>
    <t>Days Payable Calculation</t>
  </si>
  <si>
    <t>Accounts Receivables Days</t>
  </si>
  <si>
    <t>Accounts Payables Days</t>
  </si>
  <si>
    <t>Inventory Days</t>
  </si>
  <si>
    <t>WC</t>
  </si>
  <si>
    <t>Net Debt</t>
  </si>
  <si>
    <t>Cash Flow Statement</t>
  </si>
  <si>
    <t>Operating activities</t>
  </si>
  <si>
    <t xml:space="preserve">Net cash provided by operating activities </t>
  </si>
  <si>
    <t>39,688</t>
  </si>
  <si>
    <t>(6,568)</t>
  </si>
  <si>
    <t>2,344</t>
  </si>
  <si>
    <t>16,253</t>
  </si>
  <si>
    <t>20,768</t>
  </si>
  <si>
    <t>Investing activities</t>
  </si>
  <si>
    <t xml:space="preserve">Net cash used in investing activities </t>
  </si>
  <si>
    <t>(16,872)</t>
  </si>
  <si>
    <t>(19,490)</t>
  </si>
  <si>
    <t>(158,483)</t>
  </si>
  <si>
    <t>(77,072)</t>
  </si>
  <si>
    <t>(1,273)</t>
  </si>
  <si>
    <t>Financing activities</t>
  </si>
  <si>
    <t xml:space="preserve">Net cash provided by financing activities </t>
  </si>
  <si>
    <t>Cash and cash equivalents, end of year</t>
  </si>
  <si>
    <t>`</t>
  </si>
  <si>
    <t>Juice Co.</t>
  </si>
  <si>
    <t xml:space="preserve">Discounted Cash Flow </t>
  </si>
  <si>
    <t>EBITDA</t>
  </si>
  <si>
    <t>D&amp;A</t>
  </si>
  <si>
    <t>EBIT</t>
  </si>
  <si>
    <t>Taxes</t>
  </si>
  <si>
    <t>Capex</t>
  </si>
  <si>
    <t>Starting amount</t>
  </si>
  <si>
    <t>FCF</t>
  </si>
  <si>
    <t>Factor</t>
  </si>
  <si>
    <t>Discounted FCF</t>
  </si>
  <si>
    <t>WACC</t>
  </si>
  <si>
    <t>PGR</t>
  </si>
  <si>
    <t>Year of Forecast</t>
  </si>
  <si>
    <t>Terminal value</t>
  </si>
  <si>
    <t>Discounted TV</t>
  </si>
  <si>
    <t>PV of CF</t>
  </si>
  <si>
    <t>TV calculation</t>
  </si>
  <si>
    <t xml:space="preserve">DTV Calcualtion </t>
  </si>
  <si>
    <t>Forecast</t>
  </si>
  <si>
    <t>DFCF</t>
  </si>
  <si>
    <t>EV</t>
  </si>
  <si>
    <t>Equity Value</t>
  </si>
  <si>
    <t xml:space="preserve">Price per share </t>
  </si>
  <si>
    <t>Target capital structure</t>
  </si>
  <si>
    <t>Debt</t>
  </si>
  <si>
    <t>10y treasury</t>
  </si>
  <si>
    <t>Cost of Equity</t>
  </si>
  <si>
    <t>Tax rate</t>
  </si>
  <si>
    <t>pre-tax Cost of Debt</t>
  </si>
  <si>
    <t>Post tax cost of debt</t>
  </si>
  <si>
    <t>FY1</t>
  </si>
  <si>
    <t>Trading Comps FY+1 EBITDA</t>
  </si>
  <si>
    <t>FY+1 EBITDA</t>
  </si>
  <si>
    <t>DCF</t>
  </si>
  <si>
    <t>10-12% WACC, 1.5-2.5% PGR</t>
  </si>
  <si>
    <t>FCFE</t>
  </si>
  <si>
    <t>14-16% CoE, 1.5-2.5% PGR</t>
  </si>
  <si>
    <t>LBO (5 year exit)</t>
  </si>
  <si>
    <t>5 Year exit, Exit Multiple = 12x, Returns: 20-25%</t>
  </si>
  <si>
    <t>FY2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</si>
</sst>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#,##0;\(#,##0\);\-\-"/>
    <numFmt numFmtId="165" formatCode="0&quot;A&quot;"/>
    <numFmt numFmtId="166" formatCode="0&quot;E&quot;"/>
    <numFmt numFmtId="167" formatCode="#,##0.0;\(#,##0.0\);\-\-"/>
    <numFmt numFmtId="168" formatCode="#,##0.0"/>
    <numFmt numFmtId="169" formatCode="0&quot; days&quot;"/>
    <numFmt numFmtId="170" formatCode="0.0%"/>
    <numFmt numFmtId="171" formatCode="0.0"/>
    <numFmt numFmtId="172" formatCode="0.0\x"/>
  </numFmts>
  <fonts count="4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00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538DD5"/>
      <name val="Calibri"/>
      <scheme val="minor"/>
    </font>
    <font>
      <b/>
      <sz val="9"/>
      <color rgb="FF000000"/>
      <name val="TimesNewRoman"/>
      <charset val="1"/>
    </font>
    <font>
      <sz val="11"/>
      <color rgb="FF242424"/>
      <name val="Aptos Narrow"/>
      <charset val="1"/>
    </font>
    <font>
      <sz val="9"/>
      <color rgb="FF000000"/>
      <name val="TimesNewRoman"/>
      <charset val="1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i/>
      <sz val="12"/>
      <color theme="1"/>
      <name val="Arial"/>
      <family val="2"/>
    </font>
    <font>
      <b/>
      <sz val="12"/>
      <color rgb="FF000000"/>
      <name val="TimesNewRoman"/>
      <charset val="1"/>
    </font>
    <font>
      <sz val="12"/>
      <color theme="1"/>
      <name val="Arial"/>
      <family val="2"/>
    </font>
    <font>
      <b/>
      <sz val="12"/>
      <color theme="1"/>
      <name val="TimesNewRoman"/>
      <charset val="1"/>
    </font>
    <font>
      <sz val="12"/>
      <color theme="1"/>
      <name val="TimesNewRoman"/>
      <charset val="1"/>
    </font>
    <font>
      <sz val="12"/>
      <color rgb="FF000000"/>
      <name val="TimesNewRoman"/>
      <charset val="1"/>
    </font>
    <font>
      <b/>
      <sz val="12"/>
      <color theme="1"/>
      <name val="Arial"/>
      <family val="2"/>
    </font>
    <font>
      <b/>
      <sz val="10"/>
      <color rgb="FF242424"/>
      <name val="Arial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dashed">
        <color theme="0" tint="-0.14996795556505021"/>
      </right>
      <top/>
      <bottom/>
      <diagonal/>
    </border>
    <border>
      <left style="thin">
        <color theme="0"/>
      </left>
      <right style="dashed">
        <color theme="0" tint="-0.14996795556505021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dashed">
        <color theme="0" tint="-0.14996795556505021"/>
      </right>
      <top/>
      <bottom style="thin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268">
    <xf numFmtId="0" fontId="0" fillId="0" borderId="0" xfId="0"/>
    <xf numFmtId="0" fontId="9" fillId="0" borderId="0" xfId="0" applyFont="1"/>
    <xf numFmtId="164" fontId="9" fillId="0" borderId="0" xfId="0" applyNumberFormat="1" applyFont="1"/>
    <xf numFmtId="165" fontId="9" fillId="0" borderId="0" xfId="0" applyNumberFormat="1" applyFont="1"/>
    <xf numFmtId="166" fontId="9" fillId="0" borderId="0" xfId="0" applyNumberFormat="1" applyFont="1"/>
    <xf numFmtId="164" fontId="10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9" fontId="10" fillId="0" borderId="0" xfId="0" applyNumberFormat="1" applyFont="1"/>
    <xf numFmtId="9" fontId="9" fillId="0" borderId="0" xfId="0" applyNumberFormat="1" applyFont="1"/>
    <xf numFmtId="164" fontId="9" fillId="0" borderId="0" xfId="0" applyNumberFormat="1" applyFont="1" applyAlignment="1">
      <alignment horizontal="left" indent="1"/>
    </xf>
    <xf numFmtId="164" fontId="10" fillId="0" borderId="0" xfId="0" applyNumberFormat="1" applyFont="1" applyAlignment="1">
      <alignment horizontal="left" indent="1"/>
    </xf>
    <xf numFmtId="164" fontId="9" fillId="0" borderId="0" xfId="0" applyNumberFormat="1" applyFont="1" applyAlignment="1">
      <alignment horizontal="left" indent="2"/>
    </xf>
    <xf numFmtId="164" fontId="10" fillId="0" borderId="0" xfId="0" applyNumberFormat="1" applyFont="1" applyAlignment="1">
      <alignment horizontal="left" indent="2"/>
    </xf>
    <xf numFmtId="164" fontId="11" fillId="0" borderId="0" xfId="0" applyNumberFormat="1" applyFont="1"/>
    <xf numFmtId="167" fontId="11" fillId="0" borderId="0" xfId="0" applyNumberFormat="1" applyFont="1"/>
    <xf numFmtId="164" fontId="9" fillId="0" borderId="0" xfId="0" applyNumberFormat="1" applyFont="1" applyAlignment="1">
      <alignment horizontal="left"/>
    </xf>
    <xf numFmtId="164" fontId="11" fillId="0" borderId="1" xfId="0" applyNumberFormat="1" applyFont="1" applyBorder="1" applyAlignment="1">
      <alignment horizontal="left"/>
    </xf>
    <xf numFmtId="167" fontId="11" fillId="0" borderId="1" xfId="0" applyNumberFormat="1" applyFont="1" applyBorder="1"/>
    <xf numFmtId="164" fontId="11" fillId="5" borderId="0" xfId="0" applyNumberFormat="1" applyFont="1" applyFill="1"/>
    <xf numFmtId="164" fontId="9" fillId="0" borderId="1" xfId="0" applyNumberFormat="1" applyFont="1" applyBorder="1" applyAlignment="1">
      <alignment horizontal="left"/>
    </xf>
    <xf numFmtId="164" fontId="11" fillId="0" borderId="2" xfId="0" applyNumberFormat="1" applyFont="1" applyBorder="1" applyAlignment="1">
      <alignment horizontal="left"/>
    </xf>
    <xf numFmtId="167" fontId="9" fillId="0" borderId="3" xfId="0" applyNumberFormat="1" applyFont="1" applyBorder="1"/>
    <xf numFmtId="164" fontId="9" fillId="0" borderId="4" xfId="0" applyNumberFormat="1" applyFont="1" applyBorder="1" applyAlignment="1">
      <alignment horizontal="left"/>
    </xf>
    <xf numFmtId="167" fontId="9" fillId="0" borderId="5" xfId="0" applyNumberFormat="1" applyFont="1" applyBorder="1"/>
    <xf numFmtId="164" fontId="9" fillId="0" borderId="4" xfId="0" applyNumberFormat="1" applyFont="1" applyBorder="1" applyAlignment="1">
      <alignment horizontal="left" indent="2"/>
    </xf>
    <xf numFmtId="164" fontId="10" fillId="0" borderId="4" xfId="0" applyNumberFormat="1" applyFont="1" applyBorder="1" applyAlignment="1">
      <alignment horizontal="left" indent="2"/>
    </xf>
    <xf numFmtId="9" fontId="10" fillId="0" borderId="5" xfId="0" applyNumberFormat="1" applyFont="1" applyBorder="1"/>
    <xf numFmtId="164" fontId="9" fillId="0" borderId="6" xfId="0" applyNumberFormat="1" applyFont="1" applyBorder="1" applyAlignment="1">
      <alignment horizontal="left"/>
    </xf>
    <xf numFmtId="164" fontId="9" fillId="5" borderId="6" xfId="0" applyNumberFormat="1" applyFont="1" applyFill="1" applyBorder="1" applyAlignment="1">
      <alignment horizontal="left"/>
    </xf>
    <xf numFmtId="167" fontId="9" fillId="5" borderId="7" xfId="0" applyNumberFormat="1" applyFont="1" applyFill="1" applyBorder="1"/>
    <xf numFmtId="164" fontId="12" fillId="0" borderId="0" xfId="0" applyNumberFormat="1" applyFont="1"/>
    <xf numFmtId="164" fontId="12" fillId="0" borderId="0" xfId="0" applyNumberFormat="1" applyFont="1" applyAlignment="1">
      <alignment horizontal="left" indent="2"/>
    </xf>
    <xf numFmtId="167" fontId="12" fillId="0" borderId="0" xfId="0" applyNumberFormat="1" applyFont="1"/>
    <xf numFmtId="167" fontId="9" fillId="0" borderId="12" xfId="0" applyNumberFormat="1" applyFont="1" applyBorder="1"/>
    <xf numFmtId="9" fontId="10" fillId="0" borderId="12" xfId="0" applyNumberFormat="1" applyFont="1" applyBorder="1"/>
    <xf numFmtId="165" fontId="15" fillId="6" borderId="11" xfId="0" applyNumberFormat="1" applyFont="1" applyFill="1" applyBorder="1"/>
    <xf numFmtId="165" fontId="15" fillId="6" borderId="13" xfId="0" applyNumberFormat="1" applyFont="1" applyFill="1" applyBorder="1"/>
    <xf numFmtId="166" fontId="15" fillId="6" borderId="14" xfId="0" applyNumberFormat="1" applyFont="1" applyFill="1" applyBorder="1"/>
    <xf numFmtId="166" fontId="15" fillId="6" borderId="11" xfId="0" applyNumberFormat="1" applyFont="1" applyFill="1" applyBorder="1"/>
    <xf numFmtId="164" fontId="15" fillId="6" borderId="0" xfId="0" applyNumberFormat="1" applyFont="1" applyFill="1"/>
    <xf numFmtId="167" fontId="9" fillId="0" borderId="8" xfId="0" applyNumberFormat="1" applyFont="1" applyBorder="1"/>
    <xf numFmtId="167" fontId="11" fillId="5" borderId="0" xfId="0" applyNumberFormat="1" applyFont="1" applyFill="1"/>
    <xf numFmtId="167" fontId="11" fillId="5" borderId="12" xfId="0" applyNumberFormat="1" applyFont="1" applyFill="1" applyBorder="1"/>
    <xf numFmtId="169" fontId="9" fillId="0" borderId="12" xfId="0" applyNumberFormat="1" applyFont="1" applyBorder="1"/>
    <xf numFmtId="164" fontId="15" fillId="6" borderId="2" xfId="0" applyNumberFormat="1" applyFont="1" applyFill="1" applyBorder="1" applyAlignment="1">
      <alignment horizontal="left"/>
    </xf>
    <xf numFmtId="169" fontId="9" fillId="0" borderId="0" xfId="0" applyNumberFormat="1" applyFont="1"/>
    <xf numFmtId="169" fontId="9" fillId="3" borderId="0" xfId="0" applyNumberFormat="1" applyFont="1" applyFill="1"/>
    <xf numFmtId="169" fontId="9" fillId="0" borderId="5" xfId="0" applyNumberFormat="1" applyFont="1" applyBorder="1"/>
    <xf numFmtId="169" fontId="9" fillId="0" borderId="9" xfId="0" applyNumberFormat="1" applyFont="1" applyBorder="1"/>
    <xf numFmtId="169" fontId="9" fillId="0" borderId="15" xfId="0" applyNumberFormat="1" applyFont="1" applyBorder="1"/>
    <xf numFmtId="169" fontId="9" fillId="3" borderId="9" xfId="0" applyNumberFormat="1" applyFont="1" applyFill="1" applyBorder="1"/>
    <xf numFmtId="169" fontId="9" fillId="0" borderId="7" xfId="0" applyNumberFormat="1" applyFont="1" applyBorder="1"/>
    <xf numFmtId="167" fontId="9" fillId="0" borderId="16" xfId="0" applyNumberFormat="1" applyFont="1" applyBorder="1"/>
    <xf numFmtId="0" fontId="4" fillId="0" borderId="0" xfId="0" applyFont="1"/>
    <xf numFmtId="0" fontId="15" fillId="6" borderId="0" xfId="0" applyFont="1" applyFill="1"/>
    <xf numFmtId="170" fontId="15" fillId="6" borderId="0" xfId="0" applyNumberFormat="1" applyFont="1" applyFill="1"/>
    <xf numFmtId="170" fontId="9" fillId="0" borderId="0" xfId="0" applyNumberFormat="1" applyFont="1"/>
    <xf numFmtId="0" fontId="5" fillId="0" borderId="0" xfId="0" applyFont="1"/>
    <xf numFmtId="0" fontId="4" fillId="4" borderId="9" xfId="0" applyFont="1" applyFill="1" applyBorder="1"/>
    <xf numFmtId="0" fontId="4" fillId="4" borderId="0" xfId="0" applyFont="1" applyFill="1"/>
    <xf numFmtId="1" fontId="4" fillId="4" borderId="0" xfId="0" applyNumberFormat="1" applyFont="1" applyFill="1"/>
    <xf numFmtId="0" fontId="3" fillId="4" borderId="0" xfId="0" applyFont="1" applyFill="1"/>
    <xf numFmtId="0" fontId="13" fillId="6" borderId="0" xfId="0" applyFont="1" applyFill="1"/>
    <xf numFmtId="0" fontId="3" fillId="4" borderId="2" xfId="0" applyFont="1" applyFill="1" applyBorder="1"/>
    <xf numFmtId="0" fontId="3" fillId="4" borderId="8" xfId="0" applyFont="1" applyFill="1" applyBorder="1"/>
    <xf numFmtId="9" fontId="4" fillId="4" borderId="5" xfId="0" applyNumberFormat="1" applyFont="1" applyFill="1" applyBorder="1"/>
    <xf numFmtId="9" fontId="4" fillId="0" borderId="0" xfId="0" applyNumberFormat="1" applyFont="1"/>
    <xf numFmtId="0" fontId="3" fillId="4" borderId="16" xfId="0" applyFont="1" applyFill="1" applyBorder="1"/>
    <xf numFmtId="1" fontId="3" fillId="4" borderId="16" xfId="0" applyNumberFormat="1" applyFont="1" applyFill="1" applyBorder="1"/>
    <xf numFmtId="0" fontId="3" fillId="4" borderId="4" xfId="0" applyFont="1" applyFill="1" applyBorder="1"/>
    <xf numFmtId="0" fontId="4" fillId="4" borderId="4" xfId="0" applyFont="1" applyFill="1" applyBorder="1"/>
    <xf numFmtId="167" fontId="9" fillId="0" borderId="7" xfId="0" applyNumberFormat="1" applyFont="1" applyBorder="1"/>
    <xf numFmtId="1" fontId="13" fillId="4" borderId="0" xfId="0" applyNumberFormat="1" applyFont="1" applyFill="1"/>
    <xf numFmtId="167" fontId="9" fillId="0" borderId="2" xfId="0" applyNumberFormat="1" applyFont="1" applyBorder="1"/>
    <xf numFmtId="167" fontId="9" fillId="0" borderId="4" xfId="0" applyNumberFormat="1" applyFont="1" applyBorder="1"/>
    <xf numFmtId="167" fontId="9" fillId="0" borderId="6" xfId="0" applyNumberFormat="1" applyFont="1" applyBorder="1"/>
    <xf numFmtId="167" fontId="9" fillId="0" borderId="9" xfId="0" applyNumberFormat="1" applyFont="1" applyBorder="1"/>
    <xf numFmtId="167" fontId="9" fillId="2" borderId="0" xfId="0" applyNumberFormat="1" applyFont="1" applyFill="1"/>
    <xf numFmtId="167" fontId="11" fillId="2" borderId="0" xfId="0" applyNumberFormat="1" applyFont="1" applyFill="1"/>
    <xf numFmtId="0" fontId="6" fillId="4" borderId="0" xfId="0" applyFont="1" applyFill="1"/>
    <xf numFmtId="0" fontId="13" fillId="4" borderId="0" xfId="0" applyFont="1" applyFill="1"/>
    <xf numFmtId="0" fontId="6" fillId="4" borderId="9" xfId="0" applyFont="1" applyFill="1" applyBorder="1"/>
    <xf numFmtId="9" fontId="3" fillId="5" borderId="9" xfId="0" applyNumberFormat="1" applyFont="1" applyFill="1" applyBorder="1"/>
    <xf numFmtId="4" fontId="4" fillId="4" borderId="0" xfId="0" applyNumberFormat="1" applyFont="1" applyFill="1"/>
    <xf numFmtId="172" fontId="9" fillId="0" borderId="0" xfId="0" applyNumberFormat="1" applyFont="1"/>
    <xf numFmtId="167" fontId="4" fillId="4" borderId="0" xfId="0" applyNumberFormat="1" applyFont="1" applyFill="1"/>
    <xf numFmtId="168" fontId="9" fillId="0" borderId="0" xfId="0" applyNumberFormat="1" applyFont="1"/>
    <xf numFmtId="0" fontId="9" fillId="0" borderId="0" xfId="0" applyFont="1" applyAlignment="1">
      <alignment horizontal="left"/>
    </xf>
    <xf numFmtId="170" fontId="9" fillId="0" borderId="0" xfId="1" applyNumberFormat="1" applyFont="1"/>
    <xf numFmtId="10" fontId="9" fillId="0" borderId="0" xfId="1" applyNumberFormat="1" applyFont="1"/>
    <xf numFmtId="170" fontId="3" fillId="5" borderId="5" xfId="0" applyNumberFormat="1" applyFont="1" applyFill="1" applyBorder="1" applyAlignment="1">
      <alignment horizontal="center"/>
    </xf>
    <xf numFmtId="0" fontId="1" fillId="8" borderId="0" xfId="2" applyFill="1"/>
    <xf numFmtId="0" fontId="1" fillId="0" borderId="18" xfId="2" applyBorder="1"/>
    <xf numFmtId="0" fontId="1" fillId="0" borderId="19" xfId="2" applyBorder="1"/>
    <xf numFmtId="0" fontId="1" fillId="0" borderId="20" xfId="2" applyBorder="1"/>
    <xf numFmtId="0" fontId="1" fillId="0" borderId="21" xfId="2" applyBorder="1"/>
    <xf numFmtId="0" fontId="1" fillId="0" borderId="0" xfId="2"/>
    <xf numFmtId="0" fontId="1" fillId="0" borderId="22" xfId="2" applyBorder="1"/>
    <xf numFmtId="0" fontId="19" fillId="0" borderId="0" xfId="3" applyFill="1" applyBorder="1"/>
    <xf numFmtId="0" fontId="20" fillId="0" borderId="0" xfId="3" applyFont="1" applyFill="1" applyBorder="1" applyAlignment="1"/>
    <xf numFmtId="0" fontId="19" fillId="0" borderId="0" xfId="3" applyFill="1" applyBorder="1" applyAlignment="1">
      <alignment wrapText="1"/>
    </xf>
    <xf numFmtId="0" fontId="18" fillId="0" borderId="0" xfId="2" applyFont="1" applyAlignment="1">
      <alignment wrapText="1"/>
    </xf>
    <xf numFmtId="0" fontId="18" fillId="0" borderId="22" xfId="2" applyFont="1" applyBorder="1" applyAlignment="1">
      <alignment wrapText="1"/>
    </xf>
    <xf numFmtId="0" fontId="21" fillId="0" borderId="0" xfId="3" applyFont="1" applyFill="1" applyBorder="1" applyAlignment="1"/>
    <xf numFmtId="0" fontId="21" fillId="0" borderId="0" xfId="3" applyFont="1" applyFill="1" applyBorder="1"/>
    <xf numFmtId="0" fontId="22" fillId="9" borderId="0" xfId="2" applyFont="1" applyFill="1" applyAlignment="1">
      <alignment horizontal="center"/>
    </xf>
    <xf numFmtId="0" fontId="22" fillId="0" borderId="0" xfId="2" applyFont="1" applyAlignment="1">
      <alignment horizontal="center"/>
    </xf>
    <xf numFmtId="0" fontId="22" fillId="0" borderId="0" xfId="2" applyFont="1" applyAlignment="1">
      <alignment horizontal="center" vertical="center" wrapText="1"/>
    </xf>
    <xf numFmtId="0" fontId="1" fillId="0" borderId="23" xfId="2" applyBorder="1"/>
    <xf numFmtId="0" fontId="1" fillId="0" borderId="24" xfId="2" applyBorder="1"/>
    <xf numFmtId="0" fontId="1" fillId="0" borderId="25" xfId="2" applyBorder="1"/>
    <xf numFmtId="0" fontId="21" fillId="0" borderId="0" xfId="3" applyFont="1" applyFill="1" applyBorder="1" applyAlignment="1">
      <alignment wrapText="1"/>
    </xf>
    <xf numFmtId="0" fontId="23" fillId="0" borderId="0" xfId="2" applyFont="1"/>
    <xf numFmtId="0" fontId="25" fillId="0" borderId="0" xfId="3" applyFont="1" applyFill="1" applyBorder="1" applyAlignment="1">
      <alignment wrapText="1"/>
    </xf>
    <xf numFmtId="49" fontId="14" fillId="6" borderId="11" xfId="0" applyNumberFormat="1" applyFont="1" applyFill="1" applyBorder="1"/>
    <xf numFmtId="49" fontId="15" fillId="6" borderId="11" xfId="0" applyNumberFormat="1" applyFont="1" applyFill="1" applyBorder="1"/>
    <xf numFmtId="49" fontId="15" fillId="6" borderId="17" xfId="0" applyNumberFormat="1" applyFont="1" applyFill="1" applyBorder="1"/>
    <xf numFmtId="49" fontId="15" fillId="6" borderId="14" xfId="0" applyNumberFormat="1" applyFont="1" applyFill="1" applyBorder="1"/>
    <xf numFmtId="49" fontId="9" fillId="0" borderId="0" xfId="0" applyNumberFormat="1" applyFont="1"/>
    <xf numFmtId="0" fontId="26" fillId="0" borderId="0" xfId="0" applyFont="1" applyAlignment="1">
      <alignment wrapText="1"/>
    </xf>
    <xf numFmtId="164" fontId="11" fillId="0" borderId="8" xfId="0" applyNumberFormat="1" applyFont="1" applyBorder="1" applyAlignment="1">
      <alignment horizontal="left"/>
    </xf>
    <xf numFmtId="164" fontId="9" fillId="5" borderId="9" xfId="0" applyNumberFormat="1" applyFont="1" applyFill="1" applyBorder="1" applyAlignment="1">
      <alignment horizontal="left"/>
    </xf>
    <xf numFmtId="164" fontId="15" fillId="6" borderId="8" xfId="0" applyNumberFormat="1" applyFont="1" applyFill="1" applyBorder="1" applyAlignment="1">
      <alignment horizontal="left"/>
    </xf>
    <xf numFmtId="164" fontId="9" fillId="0" borderId="9" xfId="0" applyNumberFormat="1" applyFont="1" applyBorder="1" applyAlignment="1">
      <alignment horizontal="left"/>
    </xf>
    <xf numFmtId="0" fontId="28" fillId="0" borderId="0" xfId="0" applyFont="1" applyAlignment="1">
      <alignment wrapText="1"/>
    </xf>
    <xf numFmtId="3" fontId="28" fillId="0" borderId="0" xfId="0" applyNumberFormat="1" applyFont="1" applyAlignment="1">
      <alignment wrapText="1"/>
    </xf>
    <xf numFmtId="49" fontId="9" fillId="0" borderId="12" xfId="0" applyNumberFormat="1" applyFont="1" applyBorder="1"/>
    <xf numFmtId="49" fontId="11" fillId="0" borderId="0" xfId="0" applyNumberFormat="1" applyFont="1"/>
    <xf numFmtId="49" fontId="11" fillId="0" borderId="12" xfId="0" applyNumberFormat="1" applyFont="1" applyBorder="1"/>
    <xf numFmtId="49" fontId="10" fillId="0" borderId="0" xfId="0" applyNumberFormat="1" applyFont="1"/>
    <xf numFmtId="49" fontId="10" fillId="0" borderId="12" xfId="0" applyNumberFormat="1" applyFont="1" applyBorder="1"/>
    <xf numFmtId="164" fontId="9" fillId="0" borderId="0" xfId="0" applyNumberFormat="1" applyFont="1" applyAlignment="1">
      <alignment horizontal="left" wrapText="1" indent="1"/>
    </xf>
    <xf numFmtId="49" fontId="27" fillId="0" borderId="0" xfId="0" applyNumberFormat="1" applyFont="1"/>
    <xf numFmtId="2" fontId="10" fillId="0" borderId="0" xfId="0" applyNumberFormat="1" applyFont="1"/>
    <xf numFmtId="10" fontId="10" fillId="0" borderId="0" xfId="0" applyNumberFormat="1" applyFont="1"/>
    <xf numFmtId="10" fontId="9" fillId="0" borderId="0" xfId="0" applyNumberFormat="1" applyFont="1"/>
    <xf numFmtId="166" fontId="9" fillId="11" borderId="0" xfId="0" applyNumberFormat="1" applyFont="1" applyFill="1"/>
    <xf numFmtId="167" fontId="11" fillId="11" borderId="0" xfId="0" applyNumberFormat="1" applyFont="1" applyFill="1"/>
    <xf numFmtId="9" fontId="10" fillId="11" borderId="0" xfId="0" applyNumberFormat="1" applyFont="1" applyFill="1"/>
    <xf numFmtId="167" fontId="9" fillId="11" borderId="0" xfId="0" applyNumberFormat="1" applyFont="1" applyFill="1"/>
    <xf numFmtId="44" fontId="10" fillId="11" borderId="0" xfId="0" applyNumberFormat="1" applyFont="1" applyFill="1"/>
    <xf numFmtId="44" fontId="9" fillId="11" borderId="0" xfId="0" applyNumberFormat="1" applyFont="1" applyFill="1"/>
    <xf numFmtId="10" fontId="9" fillId="11" borderId="0" xfId="0" applyNumberFormat="1" applyFont="1" applyFill="1"/>
    <xf numFmtId="49" fontId="15" fillId="12" borderId="11" xfId="0" applyNumberFormat="1" applyFont="1" applyFill="1" applyBorder="1"/>
    <xf numFmtId="167" fontId="30" fillId="0" borderId="0" xfId="0" applyNumberFormat="1" applyFont="1"/>
    <xf numFmtId="0" fontId="31" fillId="0" borderId="0" xfId="0" applyFont="1" applyAlignment="1">
      <alignment wrapText="1"/>
    </xf>
    <xf numFmtId="0" fontId="32" fillId="0" borderId="0" xfId="0" applyFont="1"/>
    <xf numFmtId="165" fontId="15" fillId="6" borderId="17" xfId="0" applyNumberFormat="1" applyFont="1" applyFill="1" applyBorder="1"/>
    <xf numFmtId="164" fontId="9" fillId="0" borderId="0" xfId="0" applyNumberFormat="1" applyFont="1" applyAlignment="1">
      <alignment wrapText="1"/>
    </xf>
    <xf numFmtId="10" fontId="9" fillId="3" borderId="0" xfId="0" applyNumberFormat="1" applyFont="1" applyFill="1"/>
    <xf numFmtId="165" fontId="15" fillId="6" borderId="14" xfId="0" applyNumberFormat="1" applyFont="1" applyFill="1" applyBorder="1"/>
    <xf numFmtId="49" fontId="15" fillId="6" borderId="0" xfId="0" applyNumberFormat="1" applyFont="1" applyFill="1"/>
    <xf numFmtId="164" fontId="33" fillId="0" borderId="0" xfId="0" applyNumberFormat="1" applyFont="1"/>
    <xf numFmtId="0" fontId="34" fillId="0" borderId="0" xfId="0" applyFont="1" applyAlignment="1">
      <alignment wrapText="1"/>
    </xf>
    <xf numFmtId="0" fontId="1" fillId="0" borderId="0" xfId="0" applyFont="1"/>
    <xf numFmtId="164" fontId="35" fillId="0" borderId="0" xfId="0" applyNumberFormat="1" applyFont="1"/>
    <xf numFmtId="0" fontId="36" fillId="10" borderId="26" xfId="0" applyFont="1" applyFill="1" applyBorder="1"/>
    <xf numFmtId="0" fontId="1" fillId="10" borderId="26" xfId="0" applyFont="1" applyFill="1" applyBorder="1"/>
    <xf numFmtId="0" fontId="36" fillId="10" borderId="0" xfId="0" applyFont="1" applyFill="1"/>
    <xf numFmtId="0" fontId="37" fillId="10" borderId="0" xfId="0" applyFont="1" applyFill="1"/>
    <xf numFmtId="164" fontId="35" fillId="0" borderId="0" xfId="0" applyNumberFormat="1" applyFont="1" applyAlignment="1">
      <alignment horizontal="left" indent="1"/>
    </xf>
    <xf numFmtId="167" fontId="35" fillId="0" borderId="0" xfId="0" applyNumberFormat="1" applyFont="1"/>
    <xf numFmtId="0" fontId="38" fillId="0" borderId="0" xfId="0" applyFont="1" applyAlignment="1">
      <alignment wrapText="1"/>
    </xf>
    <xf numFmtId="3" fontId="38" fillId="0" borderId="0" xfId="0" applyNumberFormat="1" applyFont="1" applyAlignment="1">
      <alignment wrapText="1"/>
    </xf>
    <xf numFmtId="164" fontId="35" fillId="0" borderId="0" xfId="0" applyNumberFormat="1" applyFont="1" applyAlignment="1">
      <alignment horizontal="left" wrapText="1" indent="1"/>
    </xf>
    <xf numFmtId="164" fontId="33" fillId="0" borderId="0" xfId="0" applyNumberFormat="1" applyFont="1" applyAlignment="1">
      <alignment horizontal="left" indent="1"/>
    </xf>
    <xf numFmtId="49" fontId="10" fillId="4" borderId="0" xfId="0" applyNumberFormat="1" applyFont="1" applyFill="1"/>
    <xf numFmtId="10" fontId="10" fillId="3" borderId="0" xfId="0" applyNumberFormat="1" applyFont="1" applyFill="1"/>
    <xf numFmtId="9" fontId="10" fillId="4" borderId="0" xfId="0" applyNumberFormat="1" applyFont="1" applyFill="1"/>
    <xf numFmtId="164" fontId="9" fillId="3" borderId="0" xfId="0" applyNumberFormat="1" applyFont="1" applyFill="1"/>
    <xf numFmtId="164" fontId="29" fillId="13" borderId="0" xfId="0" applyNumberFormat="1" applyFont="1" applyFill="1"/>
    <xf numFmtId="164" fontId="9" fillId="13" borderId="0" xfId="0" applyNumberFormat="1" applyFont="1" applyFill="1"/>
    <xf numFmtId="49" fontId="9" fillId="13" borderId="0" xfId="0" applyNumberFormat="1" applyFont="1" applyFill="1"/>
    <xf numFmtId="49" fontId="11" fillId="13" borderId="0" xfId="0" applyNumberFormat="1" applyFont="1" applyFill="1"/>
    <xf numFmtId="49" fontId="10" fillId="13" borderId="0" xfId="0" applyNumberFormat="1" applyFont="1" applyFill="1"/>
    <xf numFmtId="2" fontId="10" fillId="13" borderId="0" xfId="0" applyNumberFormat="1" applyFont="1" applyFill="1"/>
    <xf numFmtId="10" fontId="10" fillId="13" borderId="0" xfId="0" applyNumberFormat="1" applyFont="1" applyFill="1"/>
    <xf numFmtId="2" fontId="9" fillId="13" borderId="0" xfId="0" applyNumberFormat="1" applyFont="1" applyFill="1"/>
    <xf numFmtId="10" fontId="9" fillId="13" borderId="0" xfId="0" applyNumberFormat="1" applyFont="1" applyFill="1"/>
    <xf numFmtId="0" fontId="10" fillId="13" borderId="0" xfId="0" applyFont="1" applyFill="1"/>
    <xf numFmtId="9" fontId="10" fillId="13" borderId="0" xfId="0" applyNumberFormat="1" applyFont="1" applyFill="1"/>
    <xf numFmtId="164" fontId="11" fillId="3" borderId="0" xfId="0" applyNumberFormat="1" applyFont="1" applyFill="1"/>
    <xf numFmtId="164" fontId="35" fillId="14" borderId="0" xfId="0" applyNumberFormat="1" applyFont="1" applyFill="1" applyAlignment="1">
      <alignment horizontal="left" indent="1"/>
    </xf>
    <xf numFmtId="164" fontId="9" fillId="14" borderId="0" xfId="0" applyNumberFormat="1" applyFont="1" applyFill="1" applyAlignment="1">
      <alignment horizontal="left" indent="1"/>
    </xf>
    <xf numFmtId="167" fontId="9" fillId="14" borderId="0" xfId="0" applyNumberFormat="1" applyFont="1" applyFill="1"/>
    <xf numFmtId="167" fontId="9" fillId="14" borderId="12" xfId="0" applyNumberFormat="1" applyFont="1" applyFill="1" applyBorder="1"/>
    <xf numFmtId="164" fontId="11" fillId="14" borderId="0" xfId="0" applyNumberFormat="1" applyFont="1" applyFill="1" applyAlignment="1">
      <alignment horizontal="left"/>
    </xf>
    <xf numFmtId="164" fontId="33" fillId="14" borderId="0" xfId="0" applyNumberFormat="1" applyFont="1" applyFill="1" applyAlignment="1">
      <alignment horizontal="left"/>
    </xf>
    <xf numFmtId="164" fontId="10" fillId="14" borderId="0" xfId="0" applyNumberFormat="1" applyFont="1" applyFill="1" applyAlignment="1">
      <alignment horizontal="left"/>
    </xf>
    <xf numFmtId="9" fontId="10" fillId="14" borderId="0" xfId="0" applyNumberFormat="1" applyFont="1" applyFill="1"/>
    <xf numFmtId="9" fontId="30" fillId="14" borderId="0" xfId="0" applyNumberFormat="1" applyFont="1" applyFill="1"/>
    <xf numFmtId="9" fontId="10" fillId="14" borderId="12" xfId="0" applyNumberFormat="1" applyFont="1" applyFill="1" applyBorder="1"/>
    <xf numFmtId="164" fontId="11" fillId="14" borderId="0" xfId="0" applyNumberFormat="1" applyFont="1" applyFill="1"/>
    <xf numFmtId="164" fontId="9" fillId="14" borderId="0" xfId="0" applyNumberFormat="1" applyFont="1" applyFill="1"/>
    <xf numFmtId="164" fontId="10" fillId="14" borderId="0" xfId="0" applyNumberFormat="1" applyFont="1" applyFill="1"/>
    <xf numFmtId="164" fontId="39" fillId="14" borderId="0" xfId="0" applyNumberFormat="1" applyFont="1" applyFill="1" applyAlignment="1">
      <alignment horizontal="left" indent="1"/>
    </xf>
    <xf numFmtId="164" fontId="9" fillId="14" borderId="0" xfId="0" applyNumberFormat="1" applyFont="1" applyFill="1" applyAlignment="1">
      <alignment horizontal="left"/>
    </xf>
    <xf numFmtId="10" fontId="10" fillId="4" borderId="0" xfId="0" applyNumberFormat="1" applyFont="1" applyFill="1"/>
    <xf numFmtId="10" fontId="9" fillId="4" borderId="0" xfId="0" applyNumberFormat="1" applyFont="1" applyFill="1"/>
    <xf numFmtId="164" fontId="11" fillId="6" borderId="0" xfId="0" applyNumberFormat="1" applyFont="1" applyFill="1"/>
    <xf numFmtId="2" fontId="10" fillId="11" borderId="0" xfId="0" applyNumberFormat="1" applyFont="1" applyFill="1"/>
    <xf numFmtId="10" fontId="9" fillId="14" borderId="0" xfId="0" applyNumberFormat="1" applyFont="1" applyFill="1"/>
    <xf numFmtId="10" fontId="30" fillId="14" borderId="0" xfId="0" applyNumberFormat="1" applyFont="1" applyFill="1"/>
    <xf numFmtId="10" fontId="11" fillId="14" borderId="0" xfId="0" applyNumberFormat="1" applyFont="1" applyFill="1"/>
    <xf numFmtId="10" fontId="9" fillId="14" borderId="12" xfId="0" applyNumberFormat="1" applyFont="1" applyFill="1" applyBorder="1"/>
    <xf numFmtId="49" fontId="15" fillId="4" borderId="10" xfId="0" applyNumberFormat="1" applyFont="1" applyFill="1" applyBorder="1"/>
    <xf numFmtId="164" fontId="29" fillId="0" borderId="0" xfId="0" applyNumberFormat="1" applyFont="1" applyAlignment="1">
      <alignment horizontal="left" indent="1"/>
    </xf>
    <xf numFmtId="167" fontId="9" fillId="15" borderId="0" xfId="0" applyNumberFormat="1" applyFont="1" applyFill="1"/>
    <xf numFmtId="164" fontId="35" fillId="15" borderId="0" xfId="0" applyNumberFormat="1" applyFont="1" applyFill="1"/>
    <xf numFmtId="0" fontId="27" fillId="15" borderId="0" xfId="0" applyFont="1" applyFill="1"/>
    <xf numFmtId="0" fontId="36" fillId="15" borderId="0" xfId="0" applyFont="1" applyFill="1"/>
    <xf numFmtId="0" fontId="37" fillId="15" borderId="0" xfId="0" applyFont="1" applyFill="1"/>
    <xf numFmtId="164" fontId="35" fillId="15" borderId="0" xfId="0" applyNumberFormat="1" applyFont="1" applyFill="1" applyAlignment="1">
      <alignment horizontal="left" indent="1"/>
    </xf>
    <xf numFmtId="167" fontId="35" fillId="15" borderId="0" xfId="0" applyNumberFormat="1" applyFont="1" applyFill="1"/>
    <xf numFmtId="2" fontId="9" fillId="15" borderId="0" xfId="0" applyNumberFormat="1" applyFont="1" applyFill="1"/>
    <xf numFmtId="164" fontId="30" fillId="0" borderId="0" xfId="0" applyNumberFormat="1" applyFont="1" applyAlignment="1">
      <alignment horizontal="left" indent="1"/>
    </xf>
    <xf numFmtId="164" fontId="11" fillId="3" borderId="0" xfId="0" applyNumberFormat="1" applyFont="1" applyFill="1" applyAlignment="1">
      <alignment horizontal="left" indent="1"/>
    </xf>
    <xf numFmtId="164" fontId="9" fillId="3" borderId="0" xfId="0" applyNumberFormat="1" applyFont="1" applyFill="1" applyAlignment="1">
      <alignment horizontal="left" indent="1"/>
    </xf>
    <xf numFmtId="167" fontId="9" fillId="3" borderId="0" xfId="0" applyNumberFormat="1" applyFont="1" applyFill="1"/>
    <xf numFmtId="2" fontId="9" fillId="3" borderId="0" xfId="0" applyNumberFormat="1" applyFont="1" applyFill="1"/>
    <xf numFmtId="0" fontId="40" fillId="3" borderId="0" xfId="0" applyFont="1" applyFill="1"/>
    <xf numFmtId="164" fontId="29" fillId="3" borderId="0" xfId="0" applyNumberFormat="1" applyFont="1" applyFill="1" applyAlignment="1">
      <alignment horizontal="left" indent="1"/>
    </xf>
    <xf numFmtId="164" fontId="29" fillId="0" borderId="0" xfId="0" applyNumberFormat="1" applyFont="1"/>
    <xf numFmtId="44" fontId="10" fillId="0" borderId="0" xfId="0" applyNumberFormat="1" applyFont="1"/>
    <xf numFmtId="164" fontId="29" fillId="16" borderId="0" xfId="0" applyNumberFormat="1" applyFont="1" applyFill="1" applyAlignment="1">
      <alignment horizontal="left" indent="2"/>
    </xf>
    <xf numFmtId="164" fontId="10" fillId="16" borderId="0" xfId="0" applyNumberFormat="1" applyFont="1" applyFill="1" applyAlignment="1">
      <alignment horizontal="left" indent="2"/>
    </xf>
    <xf numFmtId="9" fontId="10" fillId="16" borderId="0" xfId="0" applyNumberFormat="1" applyFont="1" applyFill="1"/>
    <xf numFmtId="10" fontId="10" fillId="16" borderId="0" xfId="0" applyNumberFormat="1" applyFont="1" applyFill="1"/>
    <xf numFmtId="44" fontId="10" fillId="16" borderId="0" xfId="0" applyNumberFormat="1" applyFont="1" applyFill="1"/>
    <xf numFmtId="49" fontId="4" fillId="4" borderId="0" xfId="0" applyNumberFormat="1" applyFont="1" applyFill="1"/>
    <xf numFmtId="0" fontId="4" fillId="17" borderId="0" xfId="0" applyFont="1" applyFill="1"/>
    <xf numFmtId="167" fontId="9" fillId="17" borderId="0" xfId="0" applyNumberFormat="1" applyFont="1" applyFill="1"/>
    <xf numFmtId="1" fontId="4" fillId="17" borderId="0" xfId="0" applyNumberFormat="1" applyFont="1" applyFill="1"/>
    <xf numFmtId="171" fontId="4" fillId="17" borderId="0" xfId="0" applyNumberFormat="1" applyFont="1" applyFill="1"/>
    <xf numFmtId="49" fontId="9" fillId="17" borderId="0" xfId="0" applyNumberFormat="1" applyFont="1" applyFill="1"/>
    <xf numFmtId="2" fontId="9" fillId="17" borderId="0" xfId="0" applyNumberFormat="1" applyFont="1" applyFill="1"/>
    <xf numFmtId="2" fontId="4" fillId="4" borderId="0" xfId="0" applyNumberFormat="1" applyFont="1" applyFill="1"/>
    <xf numFmtId="171" fontId="4" fillId="4" borderId="0" xfId="0" applyNumberFormat="1" applyFont="1" applyFill="1"/>
    <xf numFmtId="167" fontId="9" fillId="4" borderId="0" xfId="0" applyNumberFormat="1" applyFont="1" applyFill="1"/>
    <xf numFmtId="2" fontId="9" fillId="0" borderId="16" xfId="0" applyNumberFormat="1" applyFont="1" applyBorder="1"/>
    <xf numFmtId="170" fontId="9" fillId="4" borderId="0" xfId="0" applyNumberFormat="1" applyFont="1" applyFill="1"/>
    <xf numFmtId="0" fontId="27" fillId="0" borderId="0" xfId="0" applyFont="1"/>
    <xf numFmtId="2" fontId="16" fillId="4" borderId="0" xfId="0" applyNumberFormat="1" applyFont="1" applyFill="1"/>
    <xf numFmtId="2" fontId="17" fillId="3" borderId="3" xfId="0" applyNumberFormat="1" applyFont="1" applyFill="1" applyBorder="1"/>
    <xf numFmtId="2" fontId="17" fillId="3" borderId="5" xfId="0" applyNumberFormat="1" applyFont="1" applyFill="1" applyBorder="1"/>
    <xf numFmtId="2" fontId="9" fillId="0" borderId="5" xfId="0" applyNumberFormat="1" applyFont="1" applyBorder="1"/>
    <xf numFmtId="0" fontId="4" fillId="18" borderId="5" xfId="0" applyFont="1" applyFill="1" applyBorder="1"/>
    <xf numFmtId="2" fontId="9" fillId="18" borderId="5" xfId="0" applyNumberFormat="1" applyFont="1" applyFill="1" applyBorder="1"/>
    <xf numFmtId="167" fontId="9" fillId="18" borderId="5" xfId="0" applyNumberFormat="1" applyFont="1" applyFill="1" applyBorder="1"/>
    <xf numFmtId="167" fontId="11" fillId="18" borderId="5" xfId="0" applyNumberFormat="1" applyFont="1" applyFill="1" applyBorder="1"/>
    <xf numFmtId="0" fontId="4" fillId="18" borderId="0" xfId="0" applyFont="1" applyFill="1"/>
    <xf numFmtId="4" fontId="4" fillId="18" borderId="0" xfId="0" applyNumberFormat="1" applyFont="1" applyFill="1"/>
    <xf numFmtId="2" fontId="4" fillId="18" borderId="0" xfId="0" applyNumberFormat="1" applyFont="1" applyFill="1"/>
    <xf numFmtId="167" fontId="9" fillId="18" borderId="29" xfId="0" applyNumberFormat="1" applyFont="1" applyFill="1" applyBorder="1"/>
    <xf numFmtId="0" fontId="24" fillId="0" borderId="0" xfId="2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 textRotation="90"/>
    </xf>
    <xf numFmtId="0" fontId="3" fillId="7" borderId="0" xfId="0" applyFont="1" applyFill="1" applyAlignment="1">
      <alignment horizontal="center"/>
    </xf>
    <xf numFmtId="168" fontId="4" fillId="4" borderId="0" xfId="0" applyNumberFormat="1" applyFont="1" applyFill="1"/>
    <xf numFmtId="0" fontId="15" fillId="4" borderId="0" xfId="0" applyFont="1" applyFill="1"/>
    <xf numFmtId="170" fontId="15" fillId="4" borderId="0" xfId="0" applyNumberFormat="1" applyFont="1" applyFill="1"/>
    <xf numFmtId="0" fontId="9" fillId="4" borderId="0" xfId="0" applyFont="1" applyFill="1"/>
    <xf numFmtId="0" fontId="36" fillId="10" borderId="0" xfId="0" applyFont="1" applyFill="1" applyAlignment="1"/>
    <xf numFmtId="0" fontId="37" fillId="15" borderId="0" xfId="0" applyFont="1" applyFill="1" applyAlignment="1"/>
    <xf numFmtId="0" fontId="37" fillId="15" borderId="27" xfId="0" applyFont="1" applyFill="1" applyBorder="1" applyAlignment="1"/>
    <xf numFmtId="0" fontId="36" fillId="10" borderId="28" xfId="0" applyFont="1" applyFill="1" applyBorder="1" applyAlignment="1"/>
    <xf numFmtId="0" fontId="36" fillId="15" borderId="0" xfId="0" applyFont="1" applyFill="1" applyAlignment="1"/>
    <xf numFmtId="0" fontId="37" fillId="10" borderId="26" xfId="0" applyFont="1" applyFill="1" applyBorder="1" applyAlignment="1"/>
  </cellXfs>
  <cellStyles count="4">
    <cellStyle name="Hyperlink" xfId="3" builtinId="8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Field'!$C$14:$C$17</c:f>
              <c:strCache>
                <c:ptCount val="4"/>
                <c:pt idx="0">
                  <c:v>LBO (5 year exit)</c:v>
                </c:pt>
                <c:pt idx="1">
                  <c:v>FCFE</c:v>
                </c:pt>
                <c:pt idx="2">
                  <c:v>DCF</c:v>
                </c:pt>
                <c:pt idx="3">
                  <c:v>Trading Comps FY+1 EBITDA</c:v>
                </c:pt>
              </c:strCache>
            </c:strRef>
          </c:cat>
          <c:val>
            <c:numRef>
              <c:f>'Football Field'!$D$14:$D$17</c:f>
              <c:numCache>
                <c:formatCode>General</c:formatCode>
                <c:ptCount val="4"/>
                <c:pt idx="0">
                  <c:v>440</c:v>
                </c:pt>
                <c:pt idx="1">
                  <c:v>510</c:v>
                </c:pt>
                <c:pt idx="2">
                  <c:v>550</c:v>
                </c:pt>
                <c:pt idx="3">
                  <c:v>-47050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5-514A-B0B4-61B3928DBD0E}"/>
            </c:ext>
          </c:extLst>
        </c:ser>
        <c:ser>
          <c:idx val="1"/>
          <c:order val="1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5.6923228346456703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490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325-514A-B0B4-61B3928DBD0E}"/>
                </c:ext>
              </c:extLst>
            </c:dLbl>
            <c:dLbl>
              <c:idx val="1"/>
              <c:layout>
                <c:manualLayout>
                  <c:x val="6.8659011373578299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580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325-514A-B0B4-61B3928DBD0E}"/>
                </c:ext>
              </c:extLst>
            </c:dLbl>
            <c:dLbl>
              <c:idx val="2"/>
              <c:layout>
                <c:manualLayout>
                  <c:x val="0.15178980752405899"/>
                  <c:y val="4.2437781360066697E-17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750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325-514A-B0B4-61B3928DBD0E}"/>
                </c:ext>
              </c:extLst>
            </c:dLbl>
            <c:dLbl>
              <c:idx val="3"/>
              <c:layout>
                <c:manualLayout>
                  <c:x val="7.9641732283464606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476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325-514A-B0B4-61B3928DBD0E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Field'!$C$14:$C$17</c:f>
              <c:strCache>
                <c:ptCount val="4"/>
                <c:pt idx="0">
                  <c:v>LBO (5 year exit)</c:v>
                </c:pt>
                <c:pt idx="1">
                  <c:v>FCFE</c:v>
                </c:pt>
                <c:pt idx="2">
                  <c:v>DCF</c:v>
                </c:pt>
                <c:pt idx="3">
                  <c:v>Trading Comps FY+1 EBITDA</c:v>
                </c:pt>
              </c:strCache>
            </c:strRef>
          </c:cat>
          <c:val>
            <c:numRef>
              <c:f>'Football Field'!$E$14:$E$17</c:f>
              <c:numCache>
                <c:formatCode>General</c:formatCode>
                <c:ptCount val="4"/>
                <c:pt idx="0">
                  <c:v>50</c:v>
                </c:pt>
                <c:pt idx="1">
                  <c:v>70</c:v>
                </c:pt>
                <c:pt idx="2">
                  <c:v>200</c:v>
                </c:pt>
                <c:pt idx="3">
                  <c:v>-9410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25-514A-B0B4-61B3928D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3076000"/>
        <c:axId val="1823067776"/>
      </c:barChart>
      <c:catAx>
        <c:axId val="182307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067776"/>
        <c:crosses val="autoZero"/>
        <c:auto val="1"/>
        <c:lblAlgn val="ctr"/>
        <c:lblOffset val="100"/>
        <c:noMultiLvlLbl val="0"/>
      </c:catAx>
      <c:valAx>
        <c:axId val="1823067776"/>
        <c:scaling>
          <c:orientation val="minMax"/>
          <c:max val="8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076000"/>
        <c:crosses val="autoZero"/>
        <c:crossBetween val="between"/>
        <c:majorUnit val="100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1</xdr:row>
      <xdr:rowOff>0</xdr:rowOff>
    </xdr:from>
    <xdr:to>
      <xdr:col>7</xdr:col>
      <xdr:colOff>190500</xdr:colOff>
      <xdr:row>13</xdr:row>
      <xdr:rowOff>85725</xdr:rowOff>
    </xdr:to>
    <xdr:pic>
      <xdr:nvPicPr>
        <xdr:cNvPr id="2" name="Picture 1" descr="413+ Thousand Balance Financiers ...">
          <a:extLst>
            <a:ext uri="{FF2B5EF4-FFF2-40B4-BE49-F238E27FC236}">
              <a16:creationId xmlns:a16="http://schemas.microsoft.com/office/drawing/2014/main" id="{6B6C5E40-7338-950A-25C6-E1DCB4BB3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0725" y="209550"/>
          <a:ext cx="4686300" cy="3381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</xdr:row>
      <xdr:rowOff>101600</xdr:rowOff>
    </xdr:from>
    <xdr:to>
      <xdr:col>18</xdr:col>
      <xdr:colOff>342900</xdr:colOff>
      <xdr:row>17</xdr:row>
      <xdr:rowOff>177800</xdr:rowOff>
    </xdr:to>
    <xdr:graphicFrame macro="">
      <xdr:nvGraphicFramePr>
        <xdr:cNvPr id="23553" name="Chart 1">
          <a:extLst>
            <a:ext uri="{FF2B5EF4-FFF2-40B4-BE49-F238E27FC236}">
              <a16:creationId xmlns:a16="http://schemas.microsoft.com/office/drawing/2014/main" id="{AB16742E-176F-8C47-B602-6AAE0ED36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7"/>
  <sheetViews>
    <sheetView showGridLines="0" topLeftCell="D1" workbookViewId="0">
      <selection activeCell="I30" sqref="I30"/>
    </sheetView>
  </sheetViews>
  <sheetFormatPr defaultColWidth="10.85546875" defaultRowHeight="15.95"/>
  <cols>
    <col min="1" max="1" width="4.28515625" style="92" customWidth="1"/>
    <col min="2" max="3" width="3.28515625" style="92" customWidth="1"/>
    <col min="4" max="4" width="72" style="92" customWidth="1"/>
    <col min="5" max="5" width="1.140625" style="92" customWidth="1"/>
    <col min="6" max="6" width="67.28515625" style="92" customWidth="1"/>
    <col min="7" max="8" width="3.140625" style="92" customWidth="1"/>
    <col min="9" max="16384" width="10.85546875" style="92"/>
  </cols>
  <sheetData>
    <row r="1" spans="2:8" ht="16.7" thickBot="1"/>
    <row r="2" spans="2:8">
      <c r="B2" s="111"/>
      <c r="C2" s="110"/>
      <c r="D2" s="110"/>
      <c r="E2" s="110"/>
      <c r="F2" s="110"/>
      <c r="G2" s="110"/>
      <c r="H2" s="109"/>
    </row>
    <row r="3" spans="2:8">
      <c r="B3" s="98"/>
      <c r="C3" s="97"/>
      <c r="D3" s="97"/>
      <c r="E3" s="97"/>
      <c r="F3" s="97"/>
      <c r="G3" s="97"/>
      <c r="H3" s="96"/>
    </row>
    <row r="4" spans="2:8">
      <c r="B4" s="98"/>
      <c r="C4" s="97"/>
      <c r="D4" s="97"/>
      <c r="E4" s="97"/>
      <c r="F4" s="97"/>
      <c r="G4" s="97"/>
      <c r="H4" s="96"/>
    </row>
    <row r="5" spans="2:8" ht="15.75">
      <c r="B5" s="98"/>
      <c r="C5" s="97"/>
      <c r="D5" s="97"/>
      <c r="E5" s="97"/>
      <c r="F5" s="97"/>
      <c r="G5" s="97"/>
      <c r="H5" s="96"/>
    </row>
    <row r="6" spans="2:8" ht="31.5">
      <c r="B6" s="98"/>
      <c r="C6" s="97"/>
      <c r="D6" s="113" t="s">
        <v>0</v>
      </c>
      <c r="E6" s="97"/>
      <c r="F6" s="97"/>
      <c r="G6" s="97"/>
      <c r="H6" s="96"/>
    </row>
    <row r="7" spans="2:8">
      <c r="B7" s="98"/>
      <c r="C7" s="97"/>
      <c r="D7" s="97"/>
      <c r="E7" s="97"/>
      <c r="F7" s="97"/>
      <c r="G7" s="97"/>
      <c r="H7" s="96"/>
    </row>
    <row r="8" spans="2:8">
      <c r="B8" s="98"/>
      <c r="C8" s="97"/>
      <c r="D8" s="97"/>
      <c r="E8" s="97"/>
      <c r="F8" s="97"/>
      <c r="G8" s="97"/>
      <c r="H8" s="96"/>
    </row>
    <row r="9" spans="2:8">
      <c r="B9" s="98"/>
      <c r="C9" s="97"/>
      <c r="D9" s="97"/>
      <c r="E9" s="97"/>
      <c r="F9" s="97"/>
      <c r="G9" s="97"/>
      <c r="H9" s="96"/>
    </row>
    <row r="10" spans="2:8">
      <c r="B10" s="98"/>
      <c r="C10" s="97"/>
      <c r="D10" s="97"/>
      <c r="E10" s="97"/>
      <c r="F10" s="97"/>
      <c r="G10" s="97"/>
      <c r="H10" s="96"/>
    </row>
    <row r="11" spans="2:8">
      <c r="B11" s="98"/>
      <c r="C11" s="97"/>
      <c r="D11" s="97"/>
      <c r="E11" s="97"/>
      <c r="F11" s="97"/>
      <c r="G11" s="97"/>
      <c r="H11" s="96"/>
    </row>
    <row r="12" spans="2:8">
      <c r="B12" s="98"/>
      <c r="C12" s="97"/>
      <c r="D12" s="97"/>
      <c r="E12" s="97"/>
      <c r="F12" s="97"/>
      <c r="G12" s="97"/>
      <c r="H12" s="96"/>
    </row>
    <row r="13" spans="2:8" ht="71.099999999999994" customHeight="1">
      <c r="B13" s="98"/>
      <c r="C13" s="97"/>
      <c r="D13" s="255"/>
      <c r="E13" s="255"/>
      <c r="F13" s="255"/>
      <c r="G13" s="97"/>
      <c r="H13" s="96"/>
    </row>
    <row r="14" spans="2:8" ht="23.25">
      <c r="B14" s="98"/>
      <c r="C14" s="97"/>
      <c r="D14" s="108"/>
      <c r="E14" s="108"/>
      <c r="F14" s="108"/>
      <c r="G14" s="97"/>
      <c r="H14" s="96"/>
    </row>
    <row r="15" spans="2:8" ht="23.25">
      <c r="B15" s="98"/>
      <c r="C15" s="97"/>
      <c r="D15" s="106" t="s">
        <v>1</v>
      </c>
      <c r="E15" s="107"/>
      <c r="F15" s="106"/>
      <c r="G15" s="97"/>
      <c r="H15" s="96"/>
    </row>
    <row r="16" spans="2:8" ht="5.0999999999999996" customHeight="1">
      <c r="B16" s="98"/>
      <c r="C16" s="97"/>
      <c r="D16" s="100"/>
      <c r="E16" s="100"/>
      <c r="F16" s="99"/>
      <c r="G16" s="97"/>
      <c r="H16" s="96"/>
    </row>
    <row r="17" spans="2:8" ht="23.45">
      <c r="B17" s="98"/>
      <c r="C17" s="97"/>
      <c r="D17" s="105"/>
      <c r="E17" s="105"/>
      <c r="F17" s="104"/>
      <c r="G17" s="97"/>
      <c r="H17" s="96"/>
    </row>
    <row r="18" spans="2:8" ht="23.45">
      <c r="B18" s="98"/>
      <c r="C18" s="97"/>
      <c r="D18" s="104"/>
      <c r="E18" s="104"/>
      <c r="F18" s="104"/>
      <c r="G18" s="97"/>
      <c r="H18" s="96"/>
    </row>
    <row r="19" spans="2:8" ht="70.5">
      <c r="B19" s="98"/>
      <c r="C19" s="97"/>
      <c r="D19" s="114" t="s">
        <v>2</v>
      </c>
      <c r="E19" s="104"/>
      <c r="F19" s="104"/>
      <c r="G19" s="97"/>
      <c r="H19" s="96"/>
    </row>
    <row r="20" spans="2:8" ht="23.45">
      <c r="B20" s="98"/>
      <c r="C20" s="97"/>
      <c r="D20" s="104"/>
      <c r="E20" s="104"/>
      <c r="F20" s="104"/>
      <c r="G20" s="97"/>
      <c r="H20" s="96"/>
    </row>
    <row r="21" spans="2:8" ht="23.25">
      <c r="B21" s="98"/>
      <c r="C21" s="97"/>
      <c r="D21" s="104"/>
      <c r="E21" s="104"/>
      <c r="F21" s="112"/>
      <c r="G21" s="97"/>
      <c r="H21" s="96"/>
    </row>
    <row r="22" spans="2:8" ht="23.25">
      <c r="B22" s="103"/>
      <c r="C22" s="102"/>
      <c r="D22" s="100"/>
      <c r="E22" s="100"/>
      <c r="F22" s="112"/>
      <c r="G22" s="97"/>
      <c r="H22" s="96"/>
    </row>
    <row r="23" spans="2:8">
      <c r="B23" s="103"/>
      <c r="C23" s="102"/>
      <c r="D23" s="100"/>
      <c r="E23" s="100"/>
      <c r="F23" s="101"/>
      <c r="G23" s="97"/>
      <c r="H23" s="96"/>
    </row>
    <row r="24" spans="2:8">
      <c r="B24" s="98"/>
      <c r="C24" s="97"/>
      <c r="D24" s="100"/>
      <c r="E24" s="100"/>
      <c r="F24" s="99"/>
      <c r="G24" s="97"/>
      <c r="H24" s="96"/>
    </row>
    <row r="25" spans="2:8">
      <c r="B25" s="98"/>
      <c r="C25" s="97"/>
      <c r="D25" s="100"/>
      <c r="E25" s="100"/>
      <c r="F25" s="99"/>
      <c r="G25" s="97"/>
      <c r="H25" s="96"/>
    </row>
    <row r="26" spans="2:8">
      <c r="B26" s="98"/>
      <c r="C26" s="97"/>
      <c r="D26" s="97"/>
      <c r="E26" s="97"/>
      <c r="F26" s="97"/>
      <c r="G26" s="97"/>
      <c r="H26" s="96"/>
    </row>
    <row r="27" spans="2:8" ht="16.7" thickBot="1">
      <c r="B27" s="95"/>
      <c r="C27" s="94"/>
      <c r="D27" s="94"/>
      <c r="E27" s="94"/>
      <c r="F27" s="94"/>
      <c r="G27" s="94"/>
      <c r="H27" s="93"/>
    </row>
  </sheetData>
  <mergeCells count="1">
    <mergeCell ref="D13:F13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84"/>
  <sheetViews>
    <sheetView showGridLines="0" zoomScaleSheetLayoutView="85" workbookViewId="0">
      <pane xSplit="2" ySplit="5" topLeftCell="C6" activePane="bottomRight" state="frozen"/>
      <selection pane="bottomRight" activeCell="E48" sqref="E48"/>
      <selection pane="bottomLeft" activeCell="A6" sqref="A6"/>
      <selection pane="topRight" activeCell="C1" sqref="C1"/>
    </sheetView>
  </sheetViews>
  <sheetFormatPr defaultColWidth="8.85546875" defaultRowHeight="12.75" customHeight="1"/>
  <cols>
    <col min="1" max="1" width="2.7109375" style="2" customWidth="1"/>
    <col min="2" max="2" width="42.28515625" style="2" customWidth="1"/>
    <col min="3" max="4" width="11.7109375" style="2" customWidth="1"/>
    <col min="5" max="5" width="9.5703125" style="6" bestFit="1" customWidth="1"/>
    <col min="6" max="7" width="9.5703125" style="6" customWidth="1"/>
    <col min="8" max="8" width="11" style="6" bestFit="1" customWidth="1"/>
    <col min="9" max="10" width="11" style="6" customWidth="1"/>
    <col min="11" max="11" width="10.5703125" style="6" bestFit="1" customWidth="1"/>
    <col min="12" max="13" width="10.5703125" style="6" customWidth="1"/>
    <col min="14" max="14" width="13" style="6" bestFit="1" customWidth="1"/>
    <col min="15" max="16" width="10.28515625" style="6" customWidth="1"/>
    <col min="17" max="17" width="8.42578125" style="6" customWidth="1"/>
    <col min="18" max="18" width="9.28515625" style="6" bestFit="1" customWidth="1"/>
    <col min="19" max="20" width="9.28515625" style="6" customWidth="1"/>
    <col min="21" max="23" width="9.28515625" style="6" bestFit="1" customWidth="1"/>
    <col min="24" max="24" width="9.7109375" style="6" bestFit="1" customWidth="1"/>
    <col min="25" max="26" width="11.42578125" style="6" bestFit="1" customWidth="1"/>
    <col min="27" max="16384" width="8.85546875" style="6"/>
  </cols>
  <sheetData>
    <row r="1" spans="1:26" s="2" customFormat="1"/>
    <row r="2" spans="1:26" s="2" customFormat="1">
      <c r="B2" s="200"/>
      <c r="C2" s="200"/>
      <c r="D2" s="200"/>
      <c r="U2" s="2" t="s">
        <v>3</v>
      </c>
    </row>
    <row r="3" spans="1:26" s="2" customFormat="1" ht="24">
      <c r="B3" s="153"/>
      <c r="C3" s="5"/>
      <c r="D3" s="5"/>
      <c r="E3" s="149" t="s">
        <v>4</v>
      </c>
      <c r="F3" s="182" t="s">
        <v>5</v>
      </c>
      <c r="G3" s="182"/>
      <c r="H3" s="170"/>
      <c r="U3" s="171" t="s">
        <v>6</v>
      </c>
      <c r="V3" s="172"/>
      <c r="W3" s="172"/>
    </row>
    <row r="4" spans="1:26" s="2" customFormat="1" ht="17.25">
      <c r="B4" s="154" t="s">
        <v>7</v>
      </c>
      <c r="C4" s="120"/>
      <c r="D4" s="120"/>
      <c r="E4" s="36">
        <v>2024</v>
      </c>
      <c r="F4" s="36" t="s">
        <v>8</v>
      </c>
      <c r="G4" s="36"/>
      <c r="H4" s="36">
        <v>2023</v>
      </c>
      <c r="I4" s="36" t="s">
        <v>8</v>
      </c>
      <c r="J4" s="36"/>
      <c r="K4" s="36">
        <v>2022</v>
      </c>
      <c r="L4" s="36" t="s">
        <v>8</v>
      </c>
      <c r="M4" s="36"/>
      <c r="N4" s="36">
        <v>2021</v>
      </c>
      <c r="O4" s="148" t="s">
        <v>8</v>
      </c>
      <c r="P4" s="148"/>
      <c r="Q4" s="37">
        <v>2020</v>
      </c>
      <c r="R4" s="38" t="s">
        <v>8</v>
      </c>
      <c r="S4" s="38"/>
      <c r="T4" s="38"/>
      <c r="U4" s="116" t="s">
        <v>9</v>
      </c>
      <c r="V4" s="116" t="s">
        <v>10</v>
      </c>
      <c r="W4" s="116" t="s">
        <v>11</v>
      </c>
      <c r="X4" s="116" t="s">
        <v>12</v>
      </c>
      <c r="Y4" s="144" t="s">
        <v>13</v>
      </c>
      <c r="Z4" s="144" t="s">
        <v>14</v>
      </c>
    </row>
    <row r="5" spans="1:26" s="2" customFormat="1" ht="30.75" customHeight="1">
      <c r="B5" s="154"/>
      <c r="C5" s="120"/>
      <c r="D5" s="120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27"/>
      <c r="R5" s="119"/>
      <c r="S5" s="119"/>
      <c r="T5" s="119"/>
      <c r="U5" s="173"/>
      <c r="V5" s="173"/>
      <c r="W5" s="173"/>
      <c r="X5" s="173"/>
      <c r="Y5" s="137"/>
      <c r="Z5" s="137"/>
    </row>
    <row r="6" spans="1:26" ht="17.25">
      <c r="B6" s="163" t="s">
        <v>15</v>
      </c>
      <c r="C6" s="125"/>
      <c r="D6" s="125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9"/>
      <c r="R6" s="128"/>
      <c r="S6" s="128"/>
      <c r="T6" s="128"/>
      <c r="U6" s="174"/>
      <c r="V6" s="174"/>
      <c r="W6" s="174"/>
      <c r="X6" s="174"/>
      <c r="Y6" s="138"/>
      <c r="Z6" s="138"/>
    </row>
    <row r="7" spans="1:26" s="7" customFormat="1" ht="15.75">
      <c r="A7" s="5"/>
      <c r="B7" s="163"/>
      <c r="C7" s="125"/>
      <c r="D7" s="125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1"/>
      <c r="R7" s="130"/>
      <c r="S7" s="130"/>
      <c r="T7" s="130"/>
      <c r="U7" s="175"/>
      <c r="V7" s="175"/>
      <c r="W7" s="175"/>
      <c r="X7" s="175"/>
      <c r="Y7" s="139"/>
      <c r="Z7" s="139"/>
    </row>
    <row r="8" spans="1:26" ht="15.75">
      <c r="B8" s="163"/>
      <c r="C8" s="125"/>
      <c r="D8" s="125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7"/>
      <c r="R8" s="119"/>
      <c r="S8" s="119"/>
      <c r="T8" s="119"/>
      <c r="U8" s="173"/>
      <c r="V8" s="173"/>
      <c r="W8" s="173"/>
      <c r="X8" s="173"/>
      <c r="Y8" s="140"/>
      <c r="Z8" s="140"/>
    </row>
    <row r="9" spans="1:26" s="7" customFormat="1" ht="17.25">
      <c r="A9" s="5"/>
      <c r="B9" s="164" t="s">
        <v>16</v>
      </c>
      <c r="C9" s="126"/>
      <c r="D9" s="126"/>
      <c r="E9" s="167" t="s">
        <v>17</v>
      </c>
      <c r="F9" s="150">
        <f>E9/E$9</f>
        <v>1</v>
      </c>
      <c r="G9" s="199"/>
      <c r="H9" s="130" t="s">
        <v>18</v>
      </c>
      <c r="I9" s="168">
        <f>H9/H$9</f>
        <v>1</v>
      </c>
      <c r="J9" s="198"/>
      <c r="K9" s="130" t="s">
        <v>19</v>
      </c>
      <c r="L9" s="168">
        <f>K9/K$9</f>
        <v>1</v>
      </c>
      <c r="M9" s="198"/>
      <c r="N9" s="130" t="s">
        <v>20</v>
      </c>
      <c r="O9" s="168">
        <f>N9/N$9</f>
        <v>1</v>
      </c>
      <c r="P9" s="198"/>
      <c r="Q9" s="131" t="s">
        <v>21</v>
      </c>
      <c r="R9" s="168">
        <f>Q9/Q$9</f>
        <v>1</v>
      </c>
      <c r="S9" s="130"/>
      <c r="T9" s="130"/>
      <c r="U9" s="176">
        <f>E9-H9</f>
        <v>56649</v>
      </c>
      <c r="V9" s="176">
        <f>H9-K9</f>
        <v>42885</v>
      </c>
      <c r="W9" s="176">
        <f>K9-N9</f>
        <v>36036</v>
      </c>
      <c r="X9" s="176">
        <f>N9-Q9</f>
        <v>50944</v>
      </c>
      <c r="Y9" s="141">
        <f>(X9+W9+V9+U9)/4</f>
        <v>46628.5</v>
      </c>
      <c r="Z9" s="141">
        <f>(W9+V9)/2</f>
        <v>39460.5</v>
      </c>
    </row>
    <row r="10" spans="1:26" s="7" customFormat="1" ht="15.75">
      <c r="A10" s="5"/>
      <c r="B10" s="164"/>
      <c r="C10" s="126"/>
      <c r="D10" s="126"/>
      <c r="E10" s="130"/>
      <c r="F10" s="150"/>
      <c r="G10" s="199"/>
      <c r="H10" s="130"/>
      <c r="I10" s="168"/>
      <c r="J10" s="198"/>
      <c r="K10" s="130"/>
      <c r="L10" s="168"/>
      <c r="M10" s="198"/>
      <c r="N10" s="130"/>
      <c r="O10" s="168"/>
      <c r="P10" s="198"/>
      <c r="Q10" s="131"/>
      <c r="R10" s="168"/>
      <c r="S10" s="130"/>
      <c r="T10" s="130"/>
      <c r="U10" s="177">
        <f>U9/H9</f>
        <v>0.24814599038937488</v>
      </c>
      <c r="V10" s="177">
        <f>V9/K9</f>
        <v>0.23130568919764408</v>
      </c>
      <c r="W10" s="177">
        <f>W9/N9</f>
        <v>0.24125649402817204</v>
      </c>
      <c r="X10" s="177">
        <f>X9/Q9</f>
        <v>0.51759733398358121</v>
      </c>
      <c r="Y10" s="139">
        <f>(X10+W10+V10+U10)/4</f>
        <v>0.30957637689969303</v>
      </c>
      <c r="Z10" s="139">
        <f>(W10+U10)/2</f>
        <v>0.24470124220877346</v>
      </c>
    </row>
    <row r="11" spans="1:26" s="7" customFormat="1" ht="15.75">
      <c r="A11" s="5"/>
      <c r="B11" s="164"/>
      <c r="C11" s="126"/>
      <c r="D11" s="126"/>
      <c r="E11" s="130"/>
      <c r="F11" s="150"/>
      <c r="G11" s="199"/>
      <c r="H11" s="130"/>
      <c r="I11" s="168"/>
      <c r="J11" s="198"/>
      <c r="K11" s="130"/>
      <c r="L11" s="168"/>
      <c r="M11" s="198"/>
      <c r="N11" s="130"/>
      <c r="O11" s="168"/>
      <c r="P11" s="198"/>
      <c r="Q11" s="131"/>
      <c r="R11" s="168"/>
      <c r="S11" s="130"/>
      <c r="T11" s="130"/>
      <c r="U11" s="177"/>
      <c r="V11" s="177"/>
      <c r="W11" s="177"/>
      <c r="X11" s="177"/>
      <c r="Y11" s="139"/>
      <c r="Z11" s="139"/>
    </row>
    <row r="12" spans="1:26" s="7" customFormat="1" ht="17.25">
      <c r="A12" s="5"/>
      <c r="B12" s="164" t="s">
        <v>22</v>
      </c>
      <c r="C12" s="126"/>
      <c r="D12" s="126"/>
      <c r="E12" s="130" t="s">
        <v>23</v>
      </c>
      <c r="F12" s="150">
        <f t="shared" ref="F12" si="0">E12/E$9</f>
        <v>0.45102794292091614</v>
      </c>
      <c r="G12" s="199"/>
      <c r="H12" s="134">
        <f>H9-H15</f>
        <v>89323</v>
      </c>
      <c r="I12" s="168">
        <f t="shared" ref="I12" si="1">H12/H$9</f>
        <v>0.39127158995834227</v>
      </c>
      <c r="J12" s="198"/>
      <c r="K12" s="134">
        <f>K9-K15</f>
        <v>58466</v>
      </c>
      <c r="L12" s="168">
        <f t="shared" ref="L12" si="2">K12/K$9</f>
        <v>0.31534378977799832</v>
      </c>
      <c r="M12" s="198"/>
      <c r="N12" s="130" t="s">
        <v>24</v>
      </c>
      <c r="O12" s="168">
        <f t="shared" ref="O12" si="3">N12/N$9</f>
        <v>0.20339028439826468</v>
      </c>
      <c r="P12" s="198"/>
      <c r="Q12" s="131" t="s">
        <v>25</v>
      </c>
      <c r="R12" s="168">
        <f t="shared" ref="R12" si="4">Q12/Q$9</f>
        <v>0.18966918637730634</v>
      </c>
      <c r="S12" s="130"/>
      <c r="T12" s="130"/>
      <c r="U12" s="175">
        <f>E12-H12</f>
        <v>39192</v>
      </c>
      <c r="V12" s="176">
        <f>H12-K12</f>
        <v>30857</v>
      </c>
      <c r="W12" s="176">
        <f>K12-N12</f>
        <v>28086</v>
      </c>
      <c r="X12" s="176">
        <f>N12-Q12</f>
        <v>11712</v>
      </c>
      <c r="Y12" s="201">
        <f>(U12+V12+W12+X12)/4</f>
        <v>27461.75</v>
      </c>
      <c r="Z12" s="201">
        <f>(V12+W12)/2</f>
        <v>29471.5</v>
      </c>
    </row>
    <row r="13" spans="1:26" s="7" customFormat="1" ht="15.75">
      <c r="A13" s="5"/>
      <c r="B13" s="164"/>
      <c r="C13" s="126"/>
      <c r="D13" s="126"/>
      <c r="E13" s="130"/>
      <c r="F13" s="150"/>
      <c r="G13" s="199"/>
      <c r="H13" s="130"/>
      <c r="I13" s="168"/>
      <c r="J13" s="198"/>
      <c r="K13" s="130"/>
      <c r="L13" s="168"/>
      <c r="M13" s="198"/>
      <c r="N13" s="130"/>
      <c r="O13" s="168"/>
      <c r="P13" s="198"/>
      <c r="Q13" s="131"/>
      <c r="R13" s="168"/>
      <c r="S13" s="130"/>
      <c r="T13" s="130"/>
      <c r="U13" s="177">
        <f>U12/H12</f>
        <v>0.43876717082946159</v>
      </c>
      <c r="V13" s="177">
        <f>V12/K12</f>
        <v>0.5277768275578969</v>
      </c>
      <c r="W13" s="177">
        <f>W12/N12</f>
        <v>0.92448979591836733</v>
      </c>
      <c r="X13" s="177">
        <f>X12/Q12</f>
        <v>0.62738375830297832</v>
      </c>
      <c r="Y13" s="139"/>
      <c r="Z13" s="139"/>
    </row>
    <row r="14" spans="1:26" s="7" customFormat="1" ht="15.75">
      <c r="A14" s="5"/>
      <c r="B14" s="164"/>
      <c r="C14" s="126"/>
      <c r="D14" s="126"/>
      <c r="E14" s="130"/>
      <c r="F14" s="150"/>
      <c r="G14" s="199"/>
      <c r="H14" s="130"/>
      <c r="I14" s="168"/>
      <c r="J14" s="198"/>
      <c r="K14" s="130"/>
      <c r="L14" s="168"/>
      <c r="M14" s="198"/>
      <c r="N14" s="130"/>
      <c r="O14" s="168"/>
      <c r="P14" s="198"/>
      <c r="Q14" s="131"/>
      <c r="R14" s="168"/>
      <c r="S14" s="130"/>
      <c r="T14" s="130"/>
      <c r="U14" s="177"/>
      <c r="V14" s="177"/>
      <c r="W14" s="177"/>
      <c r="X14" s="177"/>
      <c r="Y14" s="139"/>
      <c r="Z14" s="139"/>
    </row>
    <row r="15" spans="1:26" ht="17.25">
      <c r="B15" s="164" t="s">
        <v>26</v>
      </c>
      <c r="C15" s="126"/>
      <c r="D15" s="126"/>
      <c r="E15" s="119" t="s">
        <v>27</v>
      </c>
      <c r="F15" s="150">
        <f t="shared" ref="F15:F21" si="5">E15/E$9</f>
        <v>0.54897205707908392</v>
      </c>
      <c r="G15" s="199"/>
      <c r="H15" s="119" t="s">
        <v>28</v>
      </c>
      <c r="I15" s="168">
        <f t="shared" ref="I15:I21" si="6">H15/H$9</f>
        <v>0.60872841004165767</v>
      </c>
      <c r="J15" s="198"/>
      <c r="K15" s="119" t="s">
        <v>29</v>
      </c>
      <c r="L15" s="168">
        <f t="shared" ref="L15:L21" si="7">K15/K$9</f>
        <v>0.68465621022200174</v>
      </c>
      <c r="M15" s="198"/>
      <c r="N15" s="119" t="s">
        <v>30</v>
      </c>
      <c r="O15" s="168">
        <f t="shared" ref="O15:O21" si="8">N15/N$9</f>
        <v>0.78996170531840826</v>
      </c>
      <c r="P15" s="198"/>
      <c r="Q15" s="127" t="s">
        <v>31</v>
      </c>
      <c r="R15" s="168">
        <f t="shared" ref="R15:R21" si="9">Q15/Q$9</f>
        <v>0.81033081362269366</v>
      </c>
      <c r="S15" s="119"/>
      <c r="T15" s="119"/>
      <c r="U15" s="178">
        <f>E15-H15</f>
        <v>17457</v>
      </c>
      <c r="V15" s="178">
        <f>H15-K15</f>
        <v>12028</v>
      </c>
      <c r="W15" s="178">
        <f>K15-N15</f>
        <v>8943</v>
      </c>
      <c r="X15" s="178">
        <f>N15-Q15</f>
        <v>38239</v>
      </c>
      <c r="Y15" s="142">
        <f>(X15+W15+V15+U15)/4</f>
        <v>19166.75</v>
      </c>
      <c r="Z15" s="142">
        <f>(W15+V15)/2</f>
        <v>10485.5</v>
      </c>
    </row>
    <row r="16" spans="1:26" ht="17.25">
      <c r="B16" s="163" t="s">
        <v>32</v>
      </c>
      <c r="C16" s="125"/>
      <c r="D16" s="125"/>
      <c r="E16" s="119"/>
      <c r="F16" s="150"/>
      <c r="G16" s="199"/>
      <c r="H16" s="119"/>
      <c r="I16" s="168"/>
      <c r="J16" s="198"/>
      <c r="K16" s="119"/>
      <c r="L16" s="168"/>
      <c r="M16" s="198"/>
      <c r="N16" s="119"/>
      <c r="O16" s="168"/>
      <c r="P16" s="198"/>
      <c r="Q16" s="127"/>
      <c r="R16" s="168"/>
      <c r="S16" s="119"/>
      <c r="T16" s="119"/>
      <c r="U16" s="179">
        <f>U15/H15</f>
        <v>0.1256206554121152</v>
      </c>
      <c r="V16" s="179">
        <f>V15/K15</f>
        <v>9.475491972458995E-2</v>
      </c>
      <c r="W16" s="179">
        <f>W15/N15</f>
        <v>7.5791347090978428E-2</v>
      </c>
      <c r="X16" s="179">
        <f>X15/Q15</f>
        <v>0.47944982195696878</v>
      </c>
      <c r="Y16" s="143">
        <f>(X16+W16+V16+U16)/4</f>
        <v>0.19390418604616308</v>
      </c>
      <c r="Z16" s="143">
        <f>(W16+V16)/2</f>
        <v>8.5273133407784196E-2</v>
      </c>
    </row>
    <row r="17" spans="1:26" ht="15">
      <c r="B17" s="165"/>
      <c r="C17" s="132"/>
      <c r="D17" s="132"/>
      <c r="E17" s="119"/>
      <c r="F17" s="150"/>
      <c r="G17" s="199"/>
      <c r="H17" s="119"/>
      <c r="I17" s="168"/>
      <c r="J17" s="198"/>
      <c r="K17" s="119"/>
      <c r="L17" s="168"/>
      <c r="M17" s="198"/>
      <c r="N17" s="119"/>
      <c r="O17" s="168"/>
      <c r="P17" s="198"/>
      <c r="Q17" s="127"/>
      <c r="R17" s="168"/>
      <c r="S17" s="119"/>
      <c r="T17" s="119"/>
      <c r="U17" s="173"/>
      <c r="V17" s="173"/>
      <c r="W17" s="173"/>
      <c r="X17" s="173"/>
      <c r="Y17" s="140"/>
      <c r="Z17" s="140"/>
    </row>
    <row r="18" spans="1:26" ht="15">
      <c r="B18" s="166" t="s">
        <v>33</v>
      </c>
      <c r="C18" s="11"/>
      <c r="D18" s="11"/>
      <c r="E18" s="130" t="s">
        <v>34</v>
      </c>
      <c r="F18" s="150">
        <f t="shared" si="5"/>
        <v>0.61614807431792185</v>
      </c>
      <c r="G18" s="199"/>
      <c r="H18" s="130" t="s">
        <v>35</v>
      </c>
      <c r="I18" s="168">
        <f t="shared" si="6"/>
        <v>0.93762730573965458</v>
      </c>
      <c r="J18" s="198"/>
      <c r="K18" s="130" t="s">
        <v>36</v>
      </c>
      <c r="L18" s="168">
        <f t="shared" si="7"/>
        <v>0.96846346357144397</v>
      </c>
      <c r="M18" s="198"/>
      <c r="N18" s="130" t="s">
        <v>37</v>
      </c>
      <c r="O18" s="168">
        <f t="shared" si="8"/>
        <v>0.98089282845053827</v>
      </c>
      <c r="P18" s="198"/>
      <c r="Q18" s="131" t="s">
        <v>38</v>
      </c>
      <c r="R18" s="168">
        <f t="shared" si="9"/>
        <v>0.64680362513208156</v>
      </c>
      <c r="S18" s="130"/>
      <c r="T18" s="130"/>
      <c r="U18" s="180">
        <f>E18-H18</f>
        <v>-38486</v>
      </c>
      <c r="V18" s="176">
        <f>H18-K18</f>
        <v>34493</v>
      </c>
      <c r="W18" s="176">
        <f>K18-N18</f>
        <v>33043</v>
      </c>
      <c r="X18" s="176">
        <f>N18-Q18</f>
        <v>82853</v>
      </c>
      <c r="Y18" s="141">
        <f>(X18+W18+V18+U18)/4</f>
        <v>27975.75</v>
      </c>
      <c r="Z18" s="141">
        <f>(W18+V18)/2</f>
        <v>33768</v>
      </c>
    </row>
    <row r="19" spans="1:26" ht="15">
      <c r="B19" s="166"/>
      <c r="C19" s="11"/>
      <c r="D19" s="11"/>
      <c r="E19" s="130"/>
      <c r="F19" s="150"/>
      <c r="G19" s="199"/>
      <c r="H19" s="130"/>
      <c r="I19" s="168"/>
      <c r="J19" s="198"/>
      <c r="K19" s="130"/>
      <c r="L19" s="168"/>
      <c r="M19" s="198"/>
      <c r="N19" s="130"/>
      <c r="O19" s="168"/>
      <c r="P19" s="198"/>
      <c r="Q19" s="131"/>
      <c r="R19" s="168"/>
      <c r="S19" s="130"/>
      <c r="T19" s="130"/>
      <c r="U19" s="180"/>
      <c r="V19" s="176"/>
      <c r="W19" s="176"/>
      <c r="X19" s="176"/>
      <c r="Y19" s="141"/>
      <c r="Z19" s="141"/>
    </row>
    <row r="20" spans="1:26" ht="15">
      <c r="B20" s="166"/>
      <c r="C20" s="11"/>
      <c r="D20" s="11"/>
      <c r="E20" s="130"/>
      <c r="F20" s="150"/>
      <c r="G20" s="199"/>
      <c r="H20" s="130"/>
      <c r="I20" s="168"/>
      <c r="J20" s="198"/>
      <c r="K20" s="130"/>
      <c r="L20" s="168"/>
      <c r="M20" s="198"/>
      <c r="N20" s="130"/>
      <c r="O20" s="168"/>
      <c r="P20" s="198"/>
      <c r="Q20" s="131"/>
      <c r="R20" s="168"/>
      <c r="S20" s="130"/>
      <c r="T20" s="130"/>
      <c r="U20" s="177">
        <f>U18/H18</f>
        <v>-0.17979911235692594</v>
      </c>
      <c r="V20" s="177">
        <f>V18/K18</f>
        <v>0.19210055859699149</v>
      </c>
      <c r="W20" s="177">
        <f>W18/N18</f>
        <v>0.22552793589691086</v>
      </c>
      <c r="X20" s="177">
        <f>X18/Q18</f>
        <v>1.3014718587518261</v>
      </c>
      <c r="Y20" s="139">
        <f>(U20+X20+W20+V20)/4</f>
        <v>0.38482531022220062</v>
      </c>
      <c r="Z20" s="139">
        <f>(W20+V20)/2</f>
        <v>0.20881424724695119</v>
      </c>
    </row>
    <row r="21" spans="1:26" ht="15">
      <c r="B21" s="166" t="s">
        <v>39</v>
      </c>
      <c r="C21" s="11"/>
      <c r="D21" s="11"/>
      <c r="E21" s="130" t="s">
        <v>40</v>
      </c>
      <c r="F21" s="150">
        <f t="shared" si="5"/>
        <v>-0.29936337027704274</v>
      </c>
      <c r="G21" s="199"/>
      <c r="H21" s="130" t="s">
        <v>41</v>
      </c>
      <c r="I21" s="168">
        <f t="shared" si="6"/>
        <v>-0.25427856795553005</v>
      </c>
      <c r="J21" s="198"/>
      <c r="K21" s="130" t="s">
        <v>42</v>
      </c>
      <c r="L21" s="168">
        <f t="shared" si="7"/>
        <v>-0.24793424090095142</v>
      </c>
      <c r="M21" s="198"/>
      <c r="N21" s="130" t="s">
        <v>43</v>
      </c>
      <c r="O21" s="168">
        <f t="shared" si="8"/>
        <v>-0.28301242568689411</v>
      </c>
      <c r="P21" s="198"/>
      <c r="Q21" s="131" t="s">
        <v>44</v>
      </c>
      <c r="R21" s="168">
        <f t="shared" si="9"/>
        <v>3.1120458424774445E-2</v>
      </c>
      <c r="S21" s="8"/>
      <c r="T21" s="8"/>
      <c r="U21" s="181"/>
      <c r="V21" s="181"/>
      <c r="W21" s="181"/>
      <c r="X21" s="181"/>
      <c r="Y21" s="139"/>
      <c r="Z21" s="139"/>
    </row>
    <row r="22" spans="1:26" s="7" customFormat="1" ht="15">
      <c r="A22" s="5"/>
      <c r="B22" s="166"/>
      <c r="C22" s="11"/>
      <c r="D22" s="11"/>
      <c r="E22" s="8"/>
      <c r="H22" s="8"/>
      <c r="I22" s="8"/>
      <c r="J22" s="8"/>
      <c r="K22" s="8"/>
      <c r="L22" s="8"/>
      <c r="M22" s="8"/>
      <c r="N22" s="130"/>
      <c r="O22" s="135"/>
      <c r="P22" s="135"/>
      <c r="Q22" s="131"/>
      <c r="R22" s="169"/>
      <c r="S22" s="169"/>
      <c r="T22" s="169"/>
      <c r="U22" s="175">
        <f>E21-H21</f>
        <v>-27251</v>
      </c>
      <c r="V22" s="180">
        <f>H21-K21</f>
        <v>-12081</v>
      </c>
      <c r="W22" s="176">
        <f>K21-N21</f>
        <v>-3695</v>
      </c>
      <c r="X22" s="175">
        <f>N21-Q21</f>
        <v>-45336</v>
      </c>
      <c r="Y22" s="141">
        <f>(X22+W22+V22+U22)/4</f>
        <v>-22090.75</v>
      </c>
      <c r="Z22" s="141">
        <f>(V22+U22)/2</f>
        <v>-19666</v>
      </c>
    </row>
    <row r="23" spans="1:26" ht="15">
      <c r="B23" s="161"/>
      <c r="C23" s="10"/>
      <c r="D23" s="10"/>
      <c r="Q23" s="34"/>
      <c r="U23" s="179">
        <f>U22/H21</f>
        <v>0.46944822477562059</v>
      </c>
      <c r="V23" s="179">
        <f>V22/K21</f>
        <v>0.26281326139923428</v>
      </c>
      <c r="W23" s="179">
        <f>W22/N21</f>
        <v>8.7408038227710358E-2</v>
      </c>
      <c r="X23" s="179">
        <f>X22/Q21</f>
        <v>-14.801175318315376</v>
      </c>
      <c r="Y23" s="143">
        <f>(W23+U23+V23+X23)/4</f>
        <v>-3.4953764484782028</v>
      </c>
      <c r="Z23" s="143">
        <f>(W23+V23)/2</f>
        <v>0.17511064981347232</v>
      </c>
    </row>
    <row r="24" spans="1:26" ht="15">
      <c r="B24" s="161"/>
      <c r="C24" s="10"/>
      <c r="D24" s="10"/>
      <c r="Q24" s="34"/>
      <c r="U24" s="136"/>
      <c r="V24" s="136"/>
      <c r="W24" s="136"/>
      <c r="X24" s="136"/>
      <c r="Y24" s="199"/>
      <c r="Z24" s="199"/>
    </row>
    <row r="25" spans="1:26" ht="15">
      <c r="B25" s="161"/>
      <c r="C25" s="10"/>
      <c r="D25" s="10"/>
      <c r="Q25" s="34"/>
      <c r="U25" s="136"/>
      <c r="V25" s="136"/>
      <c r="W25" s="136"/>
      <c r="X25" s="136"/>
      <c r="Y25" s="199"/>
      <c r="Z25" s="199"/>
    </row>
    <row r="26" spans="1:26" ht="20.25" customHeight="1">
      <c r="B26" s="196" t="s">
        <v>45</v>
      </c>
      <c r="C26" s="184"/>
      <c r="D26" s="184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6"/>
    </row>
    <row r="27" spans="1:26" ht="15" customHeight="1">
      <c r="B27" s="183"/>
      <c r="C27" s="184"/>
      <c r="D27" s="184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6"/>
      <c r="U27" s="146"/>
    </row>
    <row r="28" spans="1:26">
      <c r="B28" s="197" t="s">
        <v>46</v>
      </c>
      <c r="C28" s="187"/>
      <c r="D28" s="187"/>
      <c r="E28" s="202">
        <f>E15/E9</f>
        <v>0.54897205707908392</v>
      </c>
      <c r="F28" s="203"/>
      <c r="G28" s="203"/>
      <c r="H28" s="202">
        <f>H15/H9</f>
        <v>0.60872841004165767</v>
      </c>
      <c r="I28" s="204"/>
      <c r="J28" s="204"/>
      <c r="K28" s="202">
        <f>K15/K9</f>
        <v>0.68465621022200174</v>
      </c>
      <c r="L28" s="204"/>
      <c r="M28" s="204"/>
      <c r="N28" s="202">
        <f>N15/N9</f>
        <v>0.78996170531840826</v>
      </c>
      <c r="O28" s="204"/>
      <c r="P28" s="204"/>
      <c r="Q28" s="205">
        <f>Q15/Q9</f>
        <v>0.81033081362269366</v>
      </c>
      <c r="R28" s="15"/>
      <c r="S28" s="15"/>
      <c r="T28" s="15"/>
      <c r="U28" s="15"/>
      <c r="V28" s="15"/>
      <c r="W28" s="15"/>
      <c r="X28" s="15"/>
      <c r="Y28" s="145"/>
      <c r="Z28" s="15"/>
    </row>
    <row r="29" spans="1:26" ht="16.5" customHeight="1">
      <c r="B29" s="188"/>
      <c r="C29" s="189"/>
      <c r="D29" s="189"/>
      <c r="E29" s="190"/>
      <c r="F29" s="191"/>
      <c r="G29" s="191"/>
      <c r="H29" s="190"/>
      <c r="I29" s="190"/>
      <c r="J29" s="190"/>
      <c r="K29" s="190"/>
      <c r="L29" s="190"/>
      <c r="M29" s="190"/>
      <c r="N29" s="190"/>
      <c r="O29" s="190"/>
      <c r="P29" s="190"/>
      <c r="Q29" s="192"/>
      <c r="R29" s="8"/>
      <c r="S29" s="8"/>
      <c r="T29" s="8"/>
      <c r="U29" s="8"/>
      <c r="V29" s="8"/>
      <c r="W29" s="8"/>
      <c r="X29" s="8"/>
      <c r="Y29" s="8"/>
      <c r="Z29" s="147"/>
    </row>
    <row r="30" spans="1:26">
      <c r="B30" s="194" t="s">
        <v>47</v>
      </c>
      <c r="C30" s="193"/>
      <c r="D30" s="193"/>
      <c r="E30" s="202">
        <f>(E15-E12)/E9</f>
        <v>9.7944114158167742E-2</v>
      </c>
      <c r="F30" s="202"/>
      <c r="G30" s="202"/>
      <c r="H30" s="202">
        <f>(H15-H12)/H9</f>
        <v>0.21745682008331543</v>
      </c>
      <c r="I30" s="202"/>
      <c r="J30" s="202"/>
      <c r="K30" s="202">
        <f>(K15-K12)/K9</f>
        <v>0.36931242044400336</v>
      </c>
      <c r="L30" s="202"/>
      <c r="M30" s="202"/>
      <c r="N30" s="202">
        <f>(N15-N12)/N9</f>
        <v>0.58657142092014358</v>
      </c>
      <c r="O30" s="202"/>
      <c r="P30" s="202"/>
      <c r="Q30" s="205">
        <f>(Q15-Q12)/Q9</f>
        <v>0.62066162724538732</v>
      </c>
      <c r="R30" s="136"/>
    </row>
    <row r="31" spans="1:26">
      <c r="B31" s="194"/>
      <c r="C31" s="194"/>
      <c r="D31" s="194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6"/>
    </row>
    <row r="32" spans="1:26">
      <c r="B32" s="194" t="s">
        <v>48</v>
      </c>
      <c r="C32" s="193"/>
      <c r="D32" s="193"/>
      <c r="E32" s="202">
        <f>E21/E9</f>
        <v>-0.29936337027704274</v>
      </c>
      <c r="F32" s="202"/>
      <c r="G32" s="202"/>
      <c r="H32" s="202">
        <f>H21/H9</f>
        <v>-0.25427856795553005</v>
      </c>
      <c r="I32" s="202"/>
      <c r="J32" s="202"/>
      <c r="K32" s="202">
        <f>K21/K9</f>
        <v>-0.24793424090095142</v>
      </c>
      <c r="L32" s="202"/>
      <c r="M32" s="202"/>
      <c r="N32" s="202">
        <f>N21/N9</f>
        <v>-0.28301242568689411</v>
      </c>
      <c r="O32" s="202"/>
      <c r="P32" s="202"/>
      <c r="Q32" s="205">
        <f>Q21/Q9</f>
        <v>3.1120458424774445E-2</v>
      </c>
      <c r="R32" s="15"/>
      <c r="S32" s="15"/>
      <c r="T32" s="15"/>
      <c r="U32" s="15"/>
      <c r="V32" s="15"/>
      <c r="W32" s="15"/>
      <c r="X32" s="15"/>
      <c r="Y32" s="145"/>
      <c r="Z32" s="15"/>
    </row>
    <row r="33" spans="2:26">
      <c r="B33" s="195"/>
      <c r="C33" s="195"/>
      <c r="D33" s="195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2"/>
      <c r="R33" s="8"/>
      <c r="S33" s="8"/>
      <c r="T33" s="8"/>
      <c r="U33" s="8"/>
      <c r="V33" s="8"/>
      <c r="W33" s="8"/>
      <c r="X33" s="8"/>
      <c r="Y33" s="8"/>
      <c r="Z33" s="8"/>
    </row>
    <row r="34" spans="2:26">
      <c r="B34" s="195"/>
      <c r="C34" s="195"/>
      <c r="D34" s="19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6"/>
    </row>
    <row r="35" spans="2:26">
      <c r="B35" s="10"/>
      <c r="C35" s="10"/>
      <c r="D35" s="10"/>
      <c r="Q35" s="34"/>
    </row>
    <row r="36" spans="2:26">
      <c r="Q36" s="34"/>
    </row>
    <row r="37" spans="2:26">
      <c r="B37" s="19"/>
      <c r="C37" s="19"/>
      <c r="D37" s="19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3"/>
      <c r="R37" s="42"/>
      <c r="S37" s="42"/>
      <c r="T37" s="42"/>
      <c r="U37" s="42"/>
      <c r="V37" s="42"/>
      <c r="W37" s="42"/>
      <c r="X37" s="42"/>
      <c r="Y37" s="42"/>
      <c r="Z37" s="42"/>
    </row>
    <row r="38" spans="2:26">
      <c r="B38" s="5"/>
      <c r="C38" s="5"/>
      <c r="D38" s="5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35"/>
      <c r="R38" s="8"/>
      <c r="S38" s="8"/>
      <c r="T38" s="8"/>
      <c r="U38" s="8"/>
      <c r="V38" s="8"/>
      <c r="W38" s="8"/>
      <c r="X38" s="8"/>
      <c r="Y38" s="8"/>
      <c r="Z38" s="8"/>
    </row>
    <row r="44" spans="2:26"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</row>
    <row r="45" spans="2:26"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7" spans="2:26"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spans="2:26"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/>
    <row r="51"/>
    <row r="52"/>
    <row r="55"/>
    <row r="56"/>
    <row r="58"/>
    <row r="61"/>
    <row r="63"/>
    <row r="64"/>
    <row r="67"/>
    <row r="68"/>
    <row r="71"/>
    <row r="73"/>
    <row r="74"/>
    <row r="76"/>
    <row r="78"/>
    <row r="79"/>
    <row r="80"/>
    <row r="83"/>
    <row r="84"/>
  </sheetData>
  <autoFilter ref="Y3:Z26" xr:uid="{00000000-0001-0000-0200-000000000000}"/>
  <phoneticPr fontId="7" type="noConversion"/>
  <pageMargins left="0.75" right="0.75" top="1" bottom="1" header="0.3" footer="0.3"/>
  <pageSetup paperSize="9" scale="47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107"/>
  <sheetViews>
    <sheetView showGridLines="0" zoomScaleSheetLayoutView="85" workbookViewId="0">
      <selection activeCell="A19" sqref="A19"/>
    </sheetView>
  </sheetViews>
  <sheetFormatPr defaultColWidth="8.85546875" defaultRowHeight="12.75" customHeight="1"/>
  <cols>
    <col min="1" max="1" width="2.7109375" style="2" customWidth="1"/>
    <col min="2" max="2" width="37.5703125" style="2" customWidth="1"/>
    <col min="3" max="3" width="31.5703125" style="2" customWidth="1"/>
    <col min="4" max="4" width="14.5703125" style="6" customWidth="1"/>
    <col min="5" max="5" width="9.42578125" style="6" bestFit="1" customWidth="1"/>
    <col min="6" max="6" width="12.5703125" style="6" bestFit="1" customWidth="1"/>
    <col min="7" max="7" width="9.42578125" style="6" customWidth="1"/>
    <col min="8" max="8" width="9.85546875" style="6" bestFit="1" customWidth="1"/>
    <col min="9" max="9" width="9.42578125" style="6" customWidth="1"/>
    <col min="10" max="10" width="9.85546875" style="6" bestFit="1" customWidth="1"/>
    <col min="11" max="11" width="9.42578125" style="6" customWidth="1"/>
    <col min="12" max="12" width="10.5703125" style="6" bestFit="1" customWidth="1"/>
    <col min="13" max="13" width="9" style="6" customWidth="1"/>
    <col min="14" max="14" width="9.85546875" style="6" bestFit="1" customWidth="1"/>
    <col min="15" max="22" width="9.28515625" style="6" bestFit="1" customWidth="1"/>
    <col min="23" max="16384" width="8.85546875" style="6"/>
  </cols>
  <sheetData>
    <row r="1" spans="1:29" s="2" customFormat="1"/>
    <row r="2" spans="1:29" s="2" customFormat="1">
      <c r="B2" s="40" t="s">
        <v>49</v>
      </c>
      <c r="C2" s="40"/>
    </row>
    <row r="3" spans="1:29" s="2" customFormat="1">
      <c r="B3" s="5"/>
      <c r="C3" s="5"/>
      <c r="D3" s="223" t="s">
        <v>50</v>
      </c>
    </row>
    <row r="4" spans="1:29" s="2" customFormat="1">
      <c r="B4" s="115" t="s">
        <v>51</v>
      </c>
      <c r="C4" s="115"/>
      <c r="D4" s="115"/>
      <c r="E4" s="116"/>
      <c r="F4" s="116" t="s">
        <v>52</v>
      </c>
      <c r="G4" s="116"/>
      <c r="H4" s="116" t="s">
        <v>53</v>
      </c>
      <c r="I4" s="116"/>
      <c r="J4" s="116" t="s">
        <v>54</v>
      </c>
      <c r="K4" s="117"/>
      <c r="L4" s="117" t="s">
        <v>55</v>
      </c>
      <c r="M4" s="152"/>
      <c r="N4" s="118" t="s">
        <v>56</v>
      </c>
      <c r="O4" s="116"/>
      <c r="P4" s="116"/>
      <c r="Q4" s="116"/>
      <c r="R4" s="116"/>
      <c r="S4" s="116"/>
      <c r="T4" s="116"/>
      <c r="U4" s="116"/>
      <c r="V4" s="116"/>
      <c r="W4" s="116"/>
      <c r="X4" s="119"/>
      <c r="Y4" s="119"/>
      <c r="Z4" s="119"/>
      <c r="AA4" s="119"/>
      <c r="AB4" s="119"/>
      <c r="AC4" s="119"/>
    </row>
    <row r="5" spans="1:29" s="2" customFormat="1">
      <c r="B5" s="5"/>
      <c r="C5" s="5"/>
      <c r="D5" s="3" t="s">
        <v>57</v>
      </c>
      <c r="E5" s="3"/>
      <c r="F5" s="3"/>
      <c r="G5" s="3"/>
      <c r="H5" s="3"/>
      <c r="I5" s="3"/>
      <c r="J5" s="3"/>
      <c r="K5" s="3"/>
      <c r="L5" s="4"/>
      <c r="M5" s="4"/>
      <c r="N5" s="4"/>
      <c r="O5" s="4"/>
      <c r="P5" s="4"/>
      <c r="Q5" s="206"/>
      <c r="R5" s="4"/>
      <c r="S5" s="4"/>
      <c r="T5" s="4"/>
      <c r="U5" s="4"/>
      <c r="V5" s="4"/>
    </row>
    <row r="6" spans="1:29">
      <c r="B6" s="19" t="s">
        <v>58</v>
      </c>
      <c r="C6" s="19"/>
    </row>
    <row r="7" spans="1:29" s="7" customFormat="1" ht="15.75">
      <c r="A7" s="153"/>
      <c r="B7" s="154"/>
      <c r="C7" s="154"/>
      <c r="D7" s="155"/>
      <c r="E7" s="8"/>
      <c r="G7" s="8"/>
      <c r="H7" s="8"/>
      <c r="I7" s="8"/>
      <c r="J7" s="8"/>
      <c r="K7" s="8"/>
      <c r="R7" s="8"/>
    </row>
    <row r="8" spans="1:29" ht="17.25">
      <c r="A8" s="156"/>
      <c r="B8" s="154" t="s">
        <v>59</v>
      </c>
      <c r="C8" s="154"/>
      <c r="D8" s="155"/>
    </row>
    <row r="9" spans="1:29" ht="12.95" customHeight="1">
      <c r="A9" s="156"/>
      <c r="B9" s="157" t="s">
        <v>60</v>
      </c>
      <c r="C9" s="157"/>
      <c r="D9" s="158"/>
    </row>
    <row r="10" spans="1:29" s="7" customFormat="1" ht="12.75" customHeight="1">
      <c r="A10" s="153"/>
      <c r="B10" s="262" t="s">
        <v>61</v>
      </c>
      <c r="C10" s="262"/>
      <c r="D10" s="262"/>
      <c r="E10" s="8"/>
      <c r="F10" s="224">
        <v>448321</v>
      </c>
      <c r="G10" s="8"/>
      <c r="H10" s="134">
        <v>450737</v>
      </c>
      <c r="I10" s="8"/>
      <c r="J10" s="134">
        <v>511774</v>
      </c>
      <c r="K10" s="8"/>
      <c r="L10" s="134">
        <v>565617</v>
      </c>
      <c r="M10" s="8"/>
      <c r="N10" s="134">
        <v>125244</v>
      </c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9" s="7" customFormat="1" ht="12.75" customHeight="1">
      <c r="A11" s="153"/>
      <c r="B11" s="159"/>
      <c r="C11" s="159"/>
      <c r="D11" s="15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9" s="7" customFormat="1" ht="15.75">
      <c r="A12" s="153"/>
      <c r="B12" s="263" t="s">
        <v>62</v>
      </c>
      <c r="C12" s="263"/>
      <c r="D12" s="263"/>
      <c r="E12" s="208"/>
      <c r="F12" s="208">
        <v>286757</v>
      </c>
      <c r="G12" s="208"/>
      <c r="H12" s="208">
        <v>278218</v>
      </c>
      <c r="I12" s="208"/>
      <c r="J12" s="208">
        <v>350073</v>
      </c>
      <c r="K12" s="208"/>
      <c r="L12" s="215">
        <v>514440</v>
      </c>
      <c r="M12" s="208"/>
      <c r="N12" s="208">
        <v>75756</v>
      </c>
      <c r="O12" s="208"/>
      <c r="P12" s="208"/>
      <c r="Q12" s="6"/>
      <c r="R12" s="6"/>
      <c r="S12" s="6"/>
      <c r="T12" s="6"/>
      <c r="U12" s="6"/>
      <c r="V12" s="6"/>
      <c r="W12" s="6"/>
      <c r="X12" s="6"/>
    </row>
    <row r="13" spans="1:29" s="7" customFormat="1" ht="15.75">
      <c r="A13" s="153"/>
      <c r="B13" s="160"/>
      <c r="C13" s="160"/>
      <c r="D13" s="16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9" ht="15.75">
      <c r="A14" s="209"/>
      <c r="B14" s="264" t="s">
        <v>63</v>
      </c>
      <c r="C14" s="264"/>
      <c r="D14" s="264"/>
      <c r="E14" s="208"/>
      <c r="F14" s="208">
        <v>754776</v>
      </c>
      <c r="G14" s="208"/>
      <c r="H14" s="208">
        <v>742819</v>
      </c>
      <c r="I14" s="208"/>
      <c r="J14" s="208">
        <v>775562</v>
      </c>
      <c r="K14" s="208"/>
      <c r="L14" s="208">
        <v>755876</v>
      </c>
      <c r="M14" s="208"/>
      <c r="N14" s="208">
        <v>134424</v>
      </c>
      <c r="O14" s="208"/>
      <c r="P14" s="208"/>
    </row>
    <row r="15" spans="1:29" s="7" customFormat="1" ht="15.75">
      <c r="A15" s="156"/>
      <c r="B15" s="265" t="s">
        <v>64</v>
      </c>
      <c r="C15" s="265"/>
      <c r="D15" s="26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9" s="7" customFormat="1" ht="15.75">
      <c r="A16" s="156"/>
      <c r="B16" s="266" t="s">
        <v>65</v>
      </c>
      <c r="C16" s="266"/>
      <c r="D16" s="266"/>
      <c r="E16" s="208"/>
      <c r="F16" s="208">
        <v>59594</v>
      </c>
      <c r="G16" s="208"/>
      <c r="H16" s="208">
        <v>77214</v>
      </c>
      <c r="I16" s="208"/>
      <c r="J16" s="208">
        <v>60417</v>
      </c>
      <c r="K16" s="208"/>
      <c r="L16" s="208">
        <v>48769</v>
      </c>
      <c r="M16" s="208"/>
      <c r="N16" s="208">
        <v>72002</v>
      </c>
      <c r="O16" s="208"/>
      <c r="P16" s="208"/>
      <c r="Q16" s="6"/>
      <c r="R16" s="6"/>
      <c r="S16" s="6"/>
      <c r="T16" s="6"/>
      <c r="U16" s="6"/>
      <c r="V16" s="6"/>
    </row>
    <row r="17" spans="1:22" s="7" customFormat="1" ht="15.75">
      <c r="A17" s="156"/>
      <c r="B17" s="159"/>
      <c r="C17" s="159"/>
      <c r="D17" s="159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s="7" customFormat="1" ht="16.5" customHeight="1">
      <c r="A18" s="209"/>
      <c r="B18" s="210" t="s">
        <v>66</v>
      </c>
      <c r="C18" s="211"/>
      <c r="D18" s="211"/>
      <c r="E18" s="208"/>
      <c r="F18" s="208">
        <v>71553</v>
      </c>
      <c r="G18" s="208"/>
      <c r="H18" s="208">
        <v>91348</v>
      </c>
      <c r="I18" s="208"/>
      <c r="J18" s="208">
        <v>77946</v>
      </c>
      <c r="K18" s="208"/>
      <c r="L18" s="208">
        <v>54126</v>
      </c>
      <c r="M18" s="208"/>
      <c r="N18" s="208">
        <v>75168</v>
      </c>
      <c r="O18" s="208"/>
      <c r="P18" s="208"/>
      <c r="Q18" s="6"/>
      <c r="R18" s="6"/>
      <c r="S18" s="6"/>
      <c r="T18" s="6"/>
      <c r="U18" s="6"/>
      <c r="V18" s="6"/>
    </row>
    <row r="19" spans="1:22" s="7" customFormat="1" ht="16.5" customHeight="1">
      <c r="A19" s="156"/>
      <c r="B19" s="267"/>
      <c r="C19" s="267"/>
      <c r="D19" s="26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5.75">
      <c r="A20" s="156"/>
      <c r="B20" s="212" t="s">
        <v>67</v>
      </c>
      <c r="C20" s="212"/>
      <c r="D20" s="212"/>
      <c r="E20" s="208"/>
      <c r="F20" s="208">
        <v>683223</v>
      </c>
      <c r="G20" s="208"/>
      <c r="H20" s="208">
        <v>651471</v>
      </c>
      <c r="I20" s="208"/>
      <c r="J20" s="208">
        <v>697616</v>
      </c>
      <c r="K20" s="208"/>
      <c r="L20" s="208">
        <v>701750</v>
      </c>
      <c r="M20" s="208"/>
      <c r="N20" s="208">
        <v>-52481</v>
      </c>
      <c r="O20" s="208"/>
      <c r="P20" s="208"/>
    </row>
    <row r="21" spans="1:22" ht="15">
      <c r="A21" s="156"/>
      <c r="B21" s="161"/>
      <c r="C21" s="161"/>
      <c r="D21" s="162"/>
    </row>
    <row r="22" spans="1:22" ht="15">
      <c r="A22" s="156"/>
      <c r="B22" s="213" t="s">
        <v>68</v>
      </c>
      <c r="C22" s="213"/>
      <c r="D22" s="214"/>
      <c r="E22" s="208"/>
      <c r="F22" s="208">
        <v>754776</v>
      </c>
      <c r="G22" s="208"/>
      <c r="H22" s="208">
        <v>742819</v>
      </c>
      <c r="I22" s="208"/>
      <c r="J22" s="208">
        <f>J18+J20</f>
        <v>775562</v>
      </c>
      <c r="K22" s="208"/>
      <c r="L22" s="208">
        <v>755876</v>
      </c>
      <c r="M22" s="208"/>
      <c r="N22" s="208">
        <v>134424</v>
      </c>
      <c r="O22" s="208"/>
      <c r="P22" s="208"/>
    </row>
    <row r="23" spans="1:22" s="7" customFormat="1" ht="15">
      <c r="A23" s="156"/>
      <c r="B23" s="161"/>
      <c r="C23" s="161"/>
      <c r="D23" s="16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s="7" customFormat="1" ht="15">
      <c r="A24" s="2"/>
      <c r="B24" s="161"/>
      <c r="C24" s="161"/>
      <c r="D24" s="16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>
      <c r="B25" s="10"/>
      <c r="C25" s="10"/>
    </row>
    <row r="26" spans="1:22">
      <c r="B26" s="217" t="s">
        <v>69</v>
      </c>
      <c r="C26" s="218"/>
      <c r="D26" s="219"/>
      <c r="E26" s="219"/>
      <c r="F26" s="220">
        <f>F10/F16</f>
        <v>7.5229217706480522</v>
      </c>
      <c r="G26" s="219"/>
      <c r="H26" s="220">
        <f>H10/H16</f>
        <v>5.8375035615302924</v>
      </c>
      <c r="I26" s="219"/>
      <c r="J26" s="220">
        <f>J10/J16</f>
        <v>8.4706953340947084</v>
      </c>
      <c r="K26" s="219"/>
      <c r="L26" s="220">
        <f>L10/L16</f>
        <v>11.597879800693063</v>
      </c>
      <c r="M26" s="219"/>
      <c r="N26" s="220">
        <f>N10/N16</f>
        <v>1.739451681897725</v>
      </c>
      <c r="O26" s="219"/>
      <c r="P26" s="219"/>
    </row>
    <row r="27" spans="1:22">
      <c r="B27" s="216"/>
      <c r="C27" s="10"/>
    </row>
    <row r="28" spans="1:22">
      <c r="B28" s="221" t="s">
        <v>70</v>
      </c>
      <c r="C28" s="218"/>
      <c r="D28" s="219"/>
      <c r="E28" s="219"/>
      <c r="F28" s="220">
        <f>F18/F20</f>
        <v>0.10472861715720928</v>
      </c>
      <c r="G28" s="219"/>
      <c r="H28" s="220">
        <f>H18/H20</f>
        <v>0.14021806035878803</v>
      </c>
      <c r="I28" s="219"/>
      <c r="J28" s="220">
        <f>J18/J20</f>
        <v>0.1117319556890897</v>
      </c>
      <c r="K28" s="219"/>
      <c r="L28" s="220">
        <f>L18/L20</f>
        <v>7.7130032062700388E-2</v>
      </c>
      <c r="M28" s="219"/>
      <c r="N28" s="220">
        <f>N18/N20</f>
        <v>-1.432289781063623</v>
      </c>
      <c r="O28" s="219"/>
      <c r="P28" s="219"/>
    </row>
    <row r="29" spans="1:22">
      <c r="B29" s="207"/>
      <c r="C29" s="10"/>
    </row>
    <row r="30" spans="1:22">
      <c r="B30" s="222" t="s">
        <v>71</v>
      </c>
      <c r="C30" s="218"/>
      <c r="D30" s="219"/>
      <c r="E30" s="219"/>
      <c r="F30" s="220">
        <f>F18/F14</f>
        <v>9.4800311615631655E-2</v>
      </c>
      <c r="G30" s="220"/>
      <c r="H30" s="220">
        <f t="shared" ref="H30:N30" si="0">H18/H14</f>
        <v>0.12297477582022</v>
      </c>
      <c r="I30" s="220"/>
      <c r="J30" s="220">
        <f t="shared" si="0"/>
        <v>0.10050260327349715</v>
      </c>
      <c r="K30" s="220"/>
      <c r="L30" s="220">
        <f t="shared" si="0"/>
        <v>7.1606983155967377E-2</v>
      </c>
      <c r="M30" s="220"/>
      <c r="N30" s="220">
        <f t="shared" si="0"/>
        <v>0.55918585966791645</v>
      </c>
      <c r="O30" s="220"/>
      <c r="P30" s="220"/>
    </row>
    <row r="31" spans="1:22">
      <c r="A31" s="5"/>
      <c r="B31" s="10"/>
      <c r="C31" s="10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>
      <c r="A32" s="5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>
      <c r="A33" s="5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>
      <c r="A34" s="5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5"/>
      <c r="B35" s="225" t="s">
        <v>72</v>
      </c>
      <c r="C35" s="226"/>
      <c r="D35" s="227"/>
      <c r="E35" s="227"/>
      <c r="F35" s="227">
        <f>'Income Statement'!E9/F14</f>
        <v>0.37751332845771463</v>
      </c>
      <c r="G35" s="227"/>
      <c r="H35" s="228">
        <f>'Income Statement'!H9/H10</f>
        <v>0.50647938820198923</v>
      </c>
      <c r="I35" s="227"/>
      <c r="J35" s="228">
        <f>'Income Statement'!K9/J14</f>
        <v>0.239057612415255</v>
      </c>
      <c r="K35" s="227"/>
      <c r="L35" s="228">
        <f>'Income Statement'!N9/L14</f>
        <v>0.19760913165651509</v>
      </c>
      <c r="M35" s="227"/>
      <c r="N35" s="228">
        <f>'Income Statement'!Q9/N14</f>
        <v>0.73219068023567224</v>
      </c>
      <c r="O35" s="227"/>
      <c r="P35" s="227"/>
      <c r="Q35" s="8"/>
      <c r="R35" s="8"/>
      <c r="S35" s="8"/>
      <c r="T35" s="8"/>
      <c r="U35" s="8"/>
      <c r="V35" s="8"/>
    </row>
    <row r="36" spans="1:22">
      <c r="A36" s="5"/>
      <c r="B36" s="13"/>
      <c r="C36" s="13"/>
      <c r="D36" s="8"/>
      <c r="E36" s="8"/>
      <c r="F36" s="8"/>
      <c r="G36" s="8"/>
      <c r="H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>
      <c r="A37" s="5"/>
      <c r="B37" s="225" t="s">
        <v>73</v>
      </c>
      <c r="C37" s="226"/>
      <c r="D37" s="227"/>
      <c r="E37" s="227"/>
      <c r="F37" s="229">
        <f>'Income Statement'!E21/F14</f>
        <v>-0.11301366233160567</v>
      </c>
      <c r="G37" s="227"/>
      <c r="H37" s="229">
        <f>'Income Statement'!H21/H14</f>
        <v>-7.8146897157988685E-2</v>
      </c>
      <c r="I37" s="227"/>
      <c r="J37" s="229">
        <f>'Income Statement'!K21/J14</f>
        <v>-5.9270567665770116E-2</v>
      </c>
      <c r="K37" s="227"/>
      <c r="L37" s="229">
        <f>'Income Statement'!N21/L14</f>
        <v>-5.5925839687991155E-2</v>
      </c>
      <c r="M37" s="227"/>
      <c r="N37" s="229">
        <f>'Income Statement'!Q21/N14</f>
        <v>2.2786109623281557E-2</v>
      </c>
      <c r="O37" s="227"/>
      <c r="P37" s="227"/>
      <c r="Q37" s="8"/>
      <c r="R37" s="8"/>
      <c r="S37" s="8"/>
      <c r="T37" s="8"/>
      <c r="U37" s="8"/>
      <c r="V37" s="8"/>
    </row>
    <row r="38" spans="1:22">
      <c r="A38" s="5"/>
      <c r="B38" s="13"/>
      <c r="C38" s="13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>
      <c r="A39" s="5"/>
      <c r="B39" s="226"/>
      <c r="C39" s="226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8"/>
      <c r="R39" s="8"/>
      <c r="S39" s="8"/>
      <c r="T39" s="8"/>
      <c r="U39" s="8"/>
      <c r="V39" s="8"/>
    </row>
    <row r="40" spans="1:22">
      <c r="A40" s="5"/>
      <c r="B40" s="13"/>
      <c r="C40" s="13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>
      <c r="A41" s="5"/>
      <c r="B41" s="226"/>
      <c r="C41" s="226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8"/>
      <c r="R41" s="8"/>
      <c r="S41" s="8"/>
      <c r="T41" s="8"/>
      <c r="U41" s="8"/>
      <c r="V41" s="8"/>
    </row>
    <row r="42" spans="1:22">
      <c r="A42" s="5"/>
      <c r="C42" s="1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>
      <c r="A43" s="5"/>
      <c r="B43" s="13"/>
      <c r="C43" s="1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>
      <c r="A44" s="5"/>
      <c r="B44" s="13"/>
      <c r="C44" s="13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>
      <c r="A45" s="5"/>
      <c r="B45" s="13"/>
      <c r="C45" s="13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>
      <c r="A46" s="5"/>
      <c r="B46" s="13"/>
      <c r="C46" s="1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>
      <c r="A47" s="5"/>
      <c r="B47" s="13"/>
      <c r="C47" s="13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>
      <c r="A48" s="5"/>
      <c r="B48" s="13"/>
      <c r="C48" s="13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>
      <c r="A49" s="5"/>
      <c r="B49" s="13"/>
      <c r="C49" s="13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>
      <c r="A50" s="5"/>
      <c r="B50" s="13"/>
      <c r="C50" s="13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>
      <c r="A51" s="5"/>
      <c r="B51" s="13"/>
      <c r="C51" s="13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>
      <c r="A52" s="5"/>
      <c r="B52" s="13"/>
      <c r="C52" s="1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>
      <c r="A53" s="5"/>
      <c r="B53" s="13"/>
      <c r="C53" s="13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>
      <c r="A54" s="5"/>
      <c r="B54" s="13"/>
      <c r="C54" s="13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>
      <c r="A55" s="5"/>
      <c r="B55" s="13"/>
      <c r="C55" s="13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>
      <c r="A56" s="5"/>
      <c r="B56" s="13"/>
      <c r="C56" s="13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>
      <c r="A57" s="5"/>
      <c r="B57" s="13"/>
      <c r="C57" s="13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>
      <c r="A58" s="5"/>
      <c r="B58" s="13"/>
      <c r="C58" s="13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>
      <c r="A59" s="5"/>
      <c r="B59" s="13"/>
      <c r="C59" s="1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>
      <c r="A60" s="5"/>
      <c r="B60" s="13"/>
      <c r="C60" s="13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>
      <c r="A61" s="5"/>
      <c r="B61" s="13"/>
      <c r="C61" s="13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>
      <c r="A62" s="5"/>
      <c r="B62" s="13"/>
      <c r="C62" s="13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>
      <c r="A63" s="5"/>
      <c r="B63" s="13"/>
      <c r="C63" s="13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>
      <c r="A64" s="5"/>
      <c r="B64" s="13"/>
      <c r="C64" s="13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>
      <c r="A65" s="5"/>
      <c r="B65" s="13"/>
      <c r="C65" s="13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>
      <c r="A66" s="5"/>
      <c r="B66" s="13"/>
      <c r="C66" s="1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>
      <c r="A67" s="5"/>
      <c r="B67" s="13"/>
      <c r="C67" s="13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>
      <c r="A68" s="5"/>
      <c r="B68" s="13"/>
      <c r="C68" s="13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>
      <c r="A69" s="5"/>
      <c r="B69" s="13"/>
      <c r="C69" s="13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>
      <c r="A70" s="5"/>
      <c r="B70" s="13"/>
      <c r="C70" s="13"/>
      <c r="D70" s="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>
      <c r="B71" s="17" t="s">
        <v>74</v>
      </c>
      <c r="C71" s="17"/>
      <c r="D71" s="18"/>
    </row>
    <row r="72" spans="1:22">
      <c r="B72" s="12"/>
      <c r="C72" s="12"/>
    </row>
    <row r="73" spans="1:22">
      <c r="B73" s="19" t="s">
        <v>75</v>
      </c>
      <c r="C73" s="19"/>
    </row>
    <row r="74" spans="1:22">
      <c r="A74" s="5"/>
      <c r="B74" s="12"/>
      <c r="C74" s="12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>
      <c r="B75" s="16" t="s">
        <v>76</v>
      </c>
      <c r="C75" s="16"/>
      <c r="D75" s="15"/>
    </row>
    <row r="76" spans="1:22">
      <c r="B76" s="12" t="s">
        <v>77</v>
      </c>
      <c r="C76" s="12"/>
    </row>
    <row r="77" spans="1:22">
      <c r="B77" s="12" t="s">
        <v>78</v>
      </c>
      <c r="C77" s="12"/>
    </row>
    <row r="78" spans="1:22">
      <c r="B78" s="12"/>
      <c r="C78" s="12"/>
    </row>
    <row r="79" spans="1:22">
      <c r="B79" s="16" t="s">
        <v>79</v>
      </c>
      <c r="C79" s="16"/>
    </row>
    <row r="80" spans="1:22">
      <c r="A80" s="5"/>
      <c r="B80" s="12"/>
      <c r="C80" s="12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>
      <c r="A81" s="5"/>
      <c r="B81" s="16" t="s">
        <v>80</v>
      </c>
      <c r="C81" s="16"/>
      <c r="D81" s="8"/>
    </row>
    <row r="82" spans="1:22">
      <c r="B82" s="10" t="s">
        <v>81</v>
      </c>
      <c r="C82" s="10"/>
    </row>
    <row r="83" spans="1:22">
      <c r="B83" s="12"/>
      <c r="C83" s="1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>
      <c r="A84" s="31"/>
      <c r="B84" s="20" t="s">
        <v>82</v>
      </c>
      <c r="C84" s="20"/>
      <c r="D84" s="18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22">
      <c r="B85" s="32" t="s">
        <v>83</v>
      </c>
      <c r="C85" s="32"/>
      <c r="D85" s="33"/>
    </row>
    <row r="86" spans="1:22">
      <c r="B86" s="12"/>
      <c r="C86" s="12"/>
    </row>
    <row r="87" spans="1:22">
      <c r="B87" s="21" t="s">
        <v>84</v>
      </c>
      <c r="C87" s="121"/>
      <c r="D87" s="22"/>
      <c r="E87" s="8"/>
      <c r="F87" s="8"/>
      <c r="G87" s="8"/>
      <c r="H87" s="8"/>
      <c r="I87" s="8"/>
      <c r="J87" s="8"/>
      <c r="K87" s="8"/>
    </row>
    <row r="88" spans="1:22">
      <c r="B88" s="23" t="s">
        <v>85</v>
      </c>
      <c r="C88" s="16"/>
      <c r="D88" s="24"/>
    </row>
    <row r="89" spans="1:22">
      <c r="B89" s="25"/>
      <c r="C89" s="12"/>
      <c r="D89" s="24"/>
    </row>
    <row r="90" spans="1:22">
      <c r="A90" s="5"/>
      <c r="B90" s="23" t="s">
        <v>86</v>
      </c>
      <c r="C90" s="16"/>
      <c r="D90" s="24"/>
      <c r="E90" s="8"/>
      <c r="F90" s="8"/>
      <c r="G90" s="8"/>
      <c r="H90" s="8"/>
      <c r="I90" s="8"/>
      <c r="J90" s="8"/>
      <c r="K90" s="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5"/>
      <c r="B91" s="23" t="s">
        <v>87</v>
      </c>
      <c r="C91" s="16"/>
      <c r="D91" s="24"/>
      <c r="E91" s="8"/>
      <c r="F91" s="8"/>
      <c r="G91" s="8"/>
      <c r="H91" s="8"/>
      <c r="I91" s="8"/>
      <c r="J91" s="8"/>
      <c r="K91" s="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B92" s="26"/>
      <c r="C92" s="13"/>
      <c r="D92" s="27"/>
    </row>
    <row r="93" spans="1:22">
      <c r="B93" s="29" t="s">
        <v>88</v>
      </c>
      <c r="C93" s="122"/>
      <c r="D93" s="30"/>
    </row>
    <row r="94" spans="1:22">
      <c r="B94" s="12"/>
      <c r="C94" s="12"/>
      <c r="E94" s="8"/>
      <c r="F94" s="8"/>
      <c r="G94" s="8"/>
      <c r="H94" s="8"/>
      <c r="I94" s="8"/>
      <c r="J94" s="8"/>
      <c r="K94" s="8"/>
    </row>
    <row r="95" spans="1:22">
      <c r="B95" s="13"/>
      <c r="C95" s="13"/>
      <c r="D95" s="8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22"/>
    </row>
    <row r="96" spans="1:22">
      <c r="B96" s="45" t="s">
        <v>89</v>
      </c>
      <c r="C96" s="123"/>
      <c r="D96" s="41"/>
      <c r="V96" s="24"/>
    </row>
    <row r="97" spans="1:22">
      <c r="B97" s="25"/>
      <c r="C97" s="12"/>
      <c r="E97" s="36"/>
      <c r="F97" s="36"/>
      <c r="G97" s="36"/>
      <c r="H97" s="36"/>
      <c r="I97" s="36"/>
      <c r="J97" s="36"/>
      <c r="K97" s="151"/>
      <c r="L97" s="38"/>
      <c r="M97" s="38"/>
      <c r="N97" s="39"/>
      <c r="O97" s="39"/>
      <c r="P97" s="39"/>
      <c r="Q97" s="39"/>
      <c r="R97" s="39"/>
      <c r="S97" s="39"/>
      <c r="T97" s="39"/>
      <c r="U97" s="39"/>
      <c r="V97" s="39"/>
    </row>
    <row r="98" spans="1:22">
      <c r="B98" s="26"/>
      <c r="C98" s="13"/>
      <c r="D98" s="36"/>
      <c r="E98" s="46"/>
      <c r="F98" s="46"/>
      <c r="G98" s="46"/>
      <c r="H98" s="46"/>
      <c r="I98" s="46"/>
      <c r="J98" s="44"/>
      <c r="K98" s="46"/>
      <c r="L98" s="47"/>
      <c r="M98" s="47"/>
      <c r="N98" s="46"/>
      <c r="O98" s="46"/>
      <c r="P98" s="46"/>
      <c r="Q98" s="46"/>
      <c r="R98" s="46"/>
      <c r="S98" s="46"/>
      <c r="T98" s="46"/>
      <c r="U98" s="46"/>
      <c r="V98" s="48"/>
    </row>
    <row r="99" spans="1:22">
      <c r="B99" s="23" t="s">
        <v>90</v>
      </c>
      <c r="C99" s="16"/>
      <c r="D99" s="46"/>
      <c r="E99" s="46"/>
      <c r="F99" s="46"/>
      <c r="G99" s="46"/>
      <c r="H99" s="46"/>
      <c r="I99" s="46"/>
      <c r="J99" s="44"/>
      <c r="K99" s="46"/>
      <c r="L99" s="47"/>
      <c r="M99" s="47"/>
      <c r="N99" s="46"/>
      <c r="O99" s="46"/>
      <c r="P99" s="46"/>
      <c r="Q99" s="46"/>
      <c r="R99" s="46"/>
      <c r="S99" s="46"/>
      <c r="T99" s="46"/>
      <c r="U99" s="46"/>
      <c r="V99" s="48"/>
    </row>
    <row r="100" spans="1:22">
      <c r="B100" s="23" t="s">
        <v>91</v>
      </c>
      <c r="C100" s="16"/>
      <c r="D100" s="46"/>
      <c r="E100" s="49"/>
      <c r="F100" s="49"/>
      <c r="G100" s="49"/>
      <c r="H100" s="49"/>
      <c r="I100" s="49"/>
      <c r="J100" s="50"/>
      <c r="K100" s="49"/>
      <c r="L100" s="51"/>
      <c r="M100" s="51"/>
      <c r="N100" s="49"/>
      <c r="O100" s="49"/>
      <c r="P100" s="49"/>
      <c r="Q100" s="49"/>
      <c r="R100" s="49"/>
      <c r="S100" s="49"/>
      <c r="T100" s="49"/>
      <c r="U100" s="49"/>
      <c r="V100" s="52"/>
    </row>
    <row r="101" spans="1:22">
      <c r="A101" s="5"/>
      <c r="B101" s="28" t="s">
        <v>92</v>
      </c>
      <c r="C101" s="124"/>
      <c r="D101" s="49"/>
      <c r="E101" s="8"/>
      <c r="F101" s="8"/>
      <c r="G101" s="8"/>
      <c r="H101" s="8"/>
      <c r="I101" s="8"/>
      <c r="J101" s="8"/>
      <c r="K101" s="8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5"/>
      <c r="B102" s="11"/>
      <c r="C102" s="11"/>
      <c r="D102" s="8"/>
      <c r="E102" s="8"/>
      <c r="F102" s="8"/>
      <c r="G102" s="8"/>
      <c r="H102" s="8"/>
      <c r="I102" s="8"/>
      <c r="J102" s="8"/>
      <c r="K102" s="8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2.75" customHeight="1">
      <c r="B103" s="11"/>
      <c r="C103" s="11"/>
      <c r="D103" s="8"/>
    </row>
    <row r="104" spans="1:22">
      <c r="E104" s="6">
        <f>SUM(E12:E12)-E81</f>
        <v>0</v>
      </c>
      <c r="F104" s="6">
        <f>SUM(F12:F12)-F81</f>
        <v>286757</v>
      </c>
      <c r="H104" s="6">
        <f>SUM(L12:L12)-H81</f>
        <v>514440</v>
      </c>
      <c r="J104" s="6">
        <f>SUM(N12:N12)-J81</f>
        <v>75756</v>
      </c>
    </row>
    <row r="105" spans="1:22" ht="12.75" customHeight="1">
      <c r="B105" s="2" t="s">
        <v>93</v>
      </c>
      <c r="D105" s="6">
        <f>SUM(D12:D12)-D82</f>
        <v>0</v>
      </c>
    </row>
    <row r="106" spans="1:22">
      <c r="E106" s="6" t="e">
        <f>-(E78-#REF!)</f>
        <v>#REF!</v>
      </c>
      <c r="F106" s="6" t="e">
        <f>-(F78-#REF!)</f>
        <v>#REF!</v>
      </c>
      <c r="H106" s="6" t="e">
        <f>-(H78-#REF!)</f>
        <v>#REF!</v>
      </c>
      <c r="J106" s="6" t="e">
        <f>-(J78-#REF!)</f>
        <v>#REF!</v>
      </c>
    </row>
    <row r="107" spans="1:22" ht="12.75" customHeight="1">
      <c r="B107" s="2" t="s">
        <v>94</v>
      </c>
      <c r="D107" s="6" t="e">
        <f>-(D79-#REF!)</f>
        <v>#REF!</v>
      </c>
    </row>
  </sheetData>
  <mergeCells count="6">
    <mergeCell ref="B19:D19"/>
    <mergeCell ref="B10:D10"/>
    <mergeCell ref="B12:D12"/>
    <mergeCell ref="B14:D14"/>
    <mergeCell ref="B15:D15"/>
    <mergeCell ref="B16:D16"/>
  </mergeCells>
  <phoneticPr fontId="7" type="noConversion"/>
  <pageMargins left="0.75" right="0.75" top="1" bottom="1" header="0.3" footer="0.3"/>
  <pageSetup paperSize="9" scale="45" orientation="portrait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56"/>
  <sheetViews>
    <sheetView showGridLines="0" zoomScaleSheetLayoutView="100" workbookViewId="0">
      <selection activeCell="D56" sqref="D56"/>
    </sheetView>
  </sheetViews>
  <sheetFormatPr defaultColWidth="8.85546875" defaultRowHeight="12.75"/>
  <cols>
    <col min="1" max="1" width="2.7109375" style="2" customWidth="1"/>
    <col min="2" max="2" width="41.140625" style="2" customWidth="1"/>
    <col min="3" max="3" width="9.28515625" style="6" bestFit="1" customWidth="1"/>
    <col min="4" max="4" width="10.5703125" style="6" bestFit="1" customWidth="1"/>
    <col min="5" max="5" width="9.5703125" style="6" bestFit="1" customWidth="1"/>
    <col min="6" max="6" width="9.42578125" style="6" bestFit="1" customWidth="1"/>
    <col min="7" max="7" width="10.5703125" style="6" bestFit="1" customWidth="1"/>
    <col min="8" max="8" width="9.5703125" style="6" bestFit="1" customWidth="1"/>
    <col min="9" max="17" width="9.28515625" style="6" bestFit="1" customWidth="1"/>
    <col min="18" max="16384" width="8.85546875" style="6"/>
  </cols>
  <sheetData>
    <row r="1" spans="1:17" s="2" customFormat="1"/>
    <row r="2" spans="1:17" s="2" customFormat="1">
      <c r="B2" s="40" t="s">
        <v>95</v>
      </c>
    </row>
    <row r="3" spans="1:17" s="2" customFormat="1">
      <c r="B3" s="5"/>
    </row>
    <row r="4" spans="1:17" s="2" customFormat="1">
      <c r="B4" s="120"/>
      <c r="C4" s="36"/>
      <c r="D4" s="36">
        <v>2024</v>
      </c>
      <c r="E4" s="36">
        <v>2023</v>
      </c>
      <c r="F4" s="36">
        <v>2022</v>
      </c>
      <c r="G4" s="37">
        <v>2021</v>
      </c>
      <c r="H4" s="118">
        <v>2020</v>
      </c>
      <c r="I4" s="39"/>
      <c r="J4" s="39"/>
      <c r="K4" s="39"/>
      <c r="L4" s="39"/>
      <c r="M4" s="39"/>
      <c r="N4" s="39"/>
      <c r="O4" s="39"/>
      <c r="P4" s="39"/>
      <c r="Q4" s="39"/>
    </row>
    <row r="5" spans="1:17">
      <c r="B5" s="120" t="s">
        <v>96</v>
      </c>
      <c r="G5" s="34"/>
    </row>
    <row r="6" spans="1:17" ht="15">
      <c r="B6" s="125" t="s">
        <v>97</v>
      </c>
      <c r="D6" s="130" t="s">
        <v>98</v>
      </c>
      <c r="E6" s="130" t="s">
        <v>99</v>
      </c>
      <c r="F6" s="130" t="s">
        <v>100</v>
      </c>
      <c r="G6" s="130" t="s">
        <v>101</v>
      </c>
      <c r="H6" s="133" t="s">
        <v>102</v>
      </c>
    </row>
    <row r="7" spans="1:17">
      <c r="B7" s="120" t="s">
        <v>103</v>
      </c>
    </row>
    <row r="8" spans="1:17" s="7" customFormat="1" ht="15">
      <c r="A8" s="5"/>
      <c r="B8" s="125" t="s">
        <v>104</v>
      </c>
      <c r="C8" s="8"/>
      <c r="D8" s="130" t="s">
        <v>105</v>
      </c>
      <c r="E8" s="130" t="s">
        <v>106</v>
      </c>
      <c r="F8" s="130" t="s">
        <v>107</v>
      </c>
      <c r="G8" s="130" t="s">
        <v>108</v>
      </c>
      <c r="H8" s="133" t="s">
        <v>109</v>
      </c>
    </row>
    <row r="9" spans="1:17">
      <c r="B9" s="120" t="s">
        <v>110</v>
      </c>
    </row>
    <row r="10" spans="1:17">
      <c r="B10" s="125" t="s">
        <v>111</v>
      </c>
      <c r="D10" s="6">
        <v>-14277</v>
      </c>
      <c r="E10" s="6">
        <v>-45797</v>
      </c>
      <c r="F10" s="6">
        <v>8233</v>
      </c>
      <c r="G10" s="6">
        <v>499508</v>
      </c>
      <c r="H10" s="6">
        <v>45326</v>
      </c>
    </row>
    <row r="11" spans="1:17">
      <c r="B11" s="125"/>
      <c r="C11" s="8"/>
      <c r="D11" s="8"/>
      <c r="E11" s="8"/>
      <c r="F11" s="8"/>
      <c r="G11" s="8"/>
    </row>
    <row r="12" spans="1:17">
      <c r="B12" s="125" t="s">
        <v>112</v>
      </c>
      <c r="D12" s="6">
        <v>278218</v>
      </c>
      <c r="E12" s="6">
        <v>278218</v>
      </c>
      <c r="F12" s="6">
        <v>350073</v>
      </c>
      <c r="G12" s="6">
        <v>514445</v>
      </c>
      <c r="H12" s="6">
        <v>0</v>
      </c>
    </row>
    <row r="13" spans="1:17">
      <c r="B13" s="125"/>
      <c r="D13" s="8"/>
      <c r="E13" s="8"/>
      <c r="F13" s="9"/>
      <c r="G13" s="9"/>
    </row>
    <row r="14" spans="1:17">
      <c r="B14" s="125"/>
      <c r="E14" s="8"/>
    </row>
    <row r="15" spans="1:17" s="7" customFormat="1">
      <c r="A15" s="5"/>
      <c r="B15" s="126"/>
      <c r="C15" s="8"/>
      <c r="D15" s="8"/>
      <c r="E15" s="8"/>
      <c r="F15" s="8"/>
      <c r="G15" s="8"/>
    </row>
    <row r="19" spans="1:7" s="7" customFormat="1">
      <c r="A19" s="5"/>
      <c r="B19" s="5"/>
      <c r="C19" s="8"/>
      <c r="D19" s="8"/>
      <c r="E19" s="8"/>
      <c r="F19" s="8"/>
      <c r="G19" s="8"/>
    </row>
    <row r="22" spans="1:7">
      <c r="B22" s="5"/>
      <c r="D22" s="8"/>
      <c r="E22" s="8"/>
      <c r="F22" s="8"/>
      <c r="G22" s="8"/>
    </row>
    <row r="25" spans="1:7" s="7" customFormat="1">
      <c r="A25" s="5"/>
      <c r="B25" s="5"/>
      <c r="C25" s="8"/>
      <c r="D25" s="8"/>
      <c r="E25" s="8"/>
      <c r="F25" s="8"/>
      <c r="G25" s="8"/>
    </row>
    <row r="27" spans="1:7">
      <c r="B27" s="14"/>
    </row>
    <row r="28" spans="1:7">
      <c r="B28" s="5"/>
      <c r="C28" s="8"/>
      <c r="D28" s="8"/>
      <c r="E28" s="8"/>
      <c r="F28" s="8"/>
      <c r="G28" s="8"/>
    </row>
    <row r="31" spans="1:7">
      <c r="B31" s="5"/>
      <c r="C31" s="8"/>
      <c r="D31" s="8"/>
      <c r="E31" s="8"/>
      <c r="F31" s="8"/>
      <c r="G31" s="8"/>
    </row>
    <row r="34" spans="1:7">
      <c r="B34" s="5"/>
      <c r="C34" s="8"/>
      <c r="D34" s="8"/>
      <c r="E34" s="8"/>
      <c r="F34" s="8"/>
      <c r="G34" s="8"/>
    </row>
    <row r="36" spans="1:7">
      <c r="B36" s="14"/>
    </row>
    <row r="37" spans="1:7" s="7" customFormat="1">
      <c r="A37" s="5"/>
      <c r="B37" s="5"/>
      <c r="C37" s="8"/>
      <c r="D37" s="8"/>
      <c r="E37" s="8"/>
      <c r="F37" s="8"/>
      <c r="G37" s="8"/>
    </row>
    <row r="40" spans="1:7">
      <c r="B40" s="5"/>
      <c r="C40" s="8"/>
      <c r="D40" s="8"/>
      <c r="E40" s="8"/>
      <c r="F40" s="8"/>
      <c r="G40" s="8"/>
    </row>
    <row r="41" spans="1:7" s="7" customFormat="1">
      <c r="A41" s="5"/>
      <c r="B41" s="5"/>
      <c r="C41" s="8"/>
      <c r="D41" s="8"/>
      <c r="E41" s="8"/>
      <c r="F41" s="8"/>
      <c r="G41" s="8"/>
    </row>
    <row r="44" spans="1:7" s="7" customFormat="1">
      <c r="A44" s="5"/>
      <c r="B44" s="5"/>
      <c r="C44" s="8"/>
      <c r="D44" s="8"/>
      <c r="E44" s="8"/>
      <c r="F44" s="8"/>
      <c r="G44" s="8"/>
    </row>
    <row r="46" spans="1:7">
      <c r="B46" s="14"/>
    </row>
    <row r="47" spans="1:7">
      <c r="B47" s="5"/>
      <c r="C47" s="8"/>
      <c r="D47" s="8"/>
      <c r="E47" s="8"/>
      <c r="F47" s="8"/>
      <c r="G47" s="8"/>
    </row>
    <row r="49" spans="2:7">
      <c r="B49" s="14"/>
    </row>
    <row r="51" spans="2:7">
      <c r="B51" s="14"/>
    </row>
    <row r="52" spans="2:7">
      <c r="B52" s="5"/>
      <c r="C52" s="8"/>
      <c r="D52" s="8"/>
      <c r="E52" s="8"/>
      <c r="F52" s="8"/>
      <c r="G52" s="8"/>
    </row>
    <row r="53" spans="2:7">
      <c r="B53" s="5"/>
    </row>
    <row r="56" spans="2:7">
      <c r="B56" s="14"/>
      <c r="D56" s="6" t="s">
        <v>113</v>
      </c>
    </row>
  </sheetData>
  <phoneticPr fontId="7" type="noConversion"/>
  <pageMargins left="0.75" right="0.75" top="1" bottom="1" header="0.3" footer="0.3"/>
  <pageSetup paperSize="9" scale="45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0"/>
  <sheetViews>
    <sheetView showGridLines="0" zoomScaleSheetLayoutView="100" workbookViewId="0">
      <selection activeCell="C44" sqref="C44"/>
    </sheetView>
  </sheetViews>
  <sheetFormatPr defaultColWidth="8.85546875" defaultRowHeight="12.95"/>
  <cols>
    <col min="1" max="1" width="8.85546875" style="60"/>
    <col min="2" max="2" width="13" style="60" customWidth="1"/>
    <col min="3" max="3" width="15.42578125" style="60" bestFit="1" customWidth="1"/>
    <col min="4" max="4" width="11.5703125" style="60" bestFit="1" customWidth="1"/>
    <col min="5" max="5" width="10.28515625" style="60" customWidth="1"/>
    <col min="6" max="6" width="10.5703125" style="60" bestFit="1" customWidth="1"/>
    <col min="7" max="7" width="8.85546875" style="60"/>
    <col min="8" max="8" width="9.85546875" style="60" bestFit="1" customWidth="1"/>
    <col min="9" max="9" width="8.85546875" style="60"/>
    <col min="10" max="10" width="10.5703125" style="60" bestFit="1" customWidth="1"/>
    <col min="11" max="14" width="8.85546875" style="60"/>
    <col min="15" max="15" width="3.7109375" style="60" customWidth="1"/>
    <col min="16" max="16" width="6" style="60" customWidth="1"/>
    <col min="17" max="16384" width="8.85546875" style="60"/>
  </cols>
  <sheetData>
    <row r="1" spans="1:13" customFormat="1" ht="14.85">
      <c r="A1" s="55" t="s">
        <v>114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customFormat="1" ht="14.85">
      <c r="A2" s="55" t="s">
        <v>115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4" spans="1:13" customFormat="1" ht="14.85">
      <c r="A4" s="82" t="str">
        <f>'Balance Sheet'!B4</f>
        <v>Dates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1:13" customFormat="1" ht="14.85">
      <c r="A5" s="60"/>
      <c r="B5" s="60"/>
      <c r="C5" s="60"/>
      <c r="D5" s="81">
        <v>1</v>
      </c>
      <c r="E5" s="81">
        <v>2</v>
      </c>
      <c r="F5" s="81">
        <v>3</v>
      </c>
      <c r="G5" s="81">
        <f>+F5+1</f>
        <v>4</v>
      </c>
      <c r="H5" s="81">
        <f t="shared" ref="H5:M5" si="0">+G5+1</f>
        <v>5</v>
      </c>
      <c r="I5" s="81">
        <f t="shared" si="0"/>
        <v>6</v>
      </c>
      <c r="J5" s="81">
        <f t="shared" si="0"/>
        <v>7</v>
      </c>
      <c r="K5" s="81">
        <f t="shared" si="0"/>
        <v>8</v>
      </c>
      <c r="L5" s="81">
        <f t="shared" si="0"/>
        <v>9</v>
      </c>
      <c r="M5" s="81">
        <f t="shared" si="0"/>
        <v>10</v>
      </c>
    </row>
    <row r="6" spans="1:13">
      <c r="C6" s="37"/>
      <c r="D6" s="118" t="s">
        <v>52</v>
      </c>
      <c r="E6" s="118"/>
      <c r="F6" s="118" t="s">
        <v>53</v>
      </c>
      <c r="G6" s="118"/>
      <c r="H6" s="118" t="s">
        <v>54</v>
      </c>
      <c r="I6" s="118"/>
      <c r="J6" s="118" t="s">
        <v>55</v>
      </c>
      <c r="K6" s="118"/>
      <c r="L6" s="118" t="s">
        <v>56</v>
      </c>
      <c r="M6" s="118"/>
    </row>
    <row r="7" spans="1:13">
      <c r="D7" s="230"/>
    </row>
    <row r="8" spans="1:13">
      <c r="A8" s="231" t="s">
        <v>116</v>
      </c>
      <c r="B8" s="231"/>
      <c r="C8" s="232"/>
      <c r="D8" s="232">
        <v>-4705</v>
      </c>
      <c r="E8" s="232"/>
      <c r="F8" s="232">
        <v>-64795</v>
      </c>
      <c r="G8" s="232"/>
      <c r="H8" s="236">
        <v>-45644</v>
      </c>
      <c r="I8" s="232"/>
      <c r="J8" s="232">
        <v>-26361</v>
      </c>
      <c r="K8" s="232"/>
      <c r="L8" s="232">
        <v>16095</v>
      </c>
      <c r="M8" s="232"/>
    </row>
    <row r="9" spans="1:13">
      <c r="C9" s="61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A10" s="231" t="s">
        <v>117</v>
      </c>
      <c r="B10" s="231"/>
      <c r="C10" s="233"/>
      <c r="D10" s="232">
        <v>14436</v>
      </c>
      <c r="E10" s="232"/>
      <c r="F10" s="232">
        <v>10289</v>
      </c>
      <c r="G10" s="232"/>
      <c r="H10" s="236">
        <v>6020</v>
      </c>
      <c r="I10" s="232"/>
      <c r="J10" s="232">
        <v>1615</v>
      </c>
      <c r="K10" s="232"/>
      <c r="L10" s="232">
        <v>673</v>
      </c>
      <c r="M10" s="232"/>
    </row>
    <row r="11" spans="1:13">
      <c r="C11" s="61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2.75">
      <c r="A12" s="231" t="s">
        <v>118</v>
      </c>
      <c r="B12" s="231"/>
      <c r="C12" s="233"/>
      <c r="D12" s="232">
        <v>-19141</v>
      </c>
      <c r="E12" s="232"/>
      <c r="F12" s="232">
        <v>6020</v>
      </c>
      <c r="G12" s="232"/>
      <c r="H12" s="236">
        <v>51664</v>
      </c>
      <c r="I12" s="232"/>
      <c r="J12" s="232">
        <v>-27976</v>
      </c>
      <c r="K12" s="232"/>
      <c r="L12" s="232">
        <v>16768</v>
      </c>
      <c r="M12" s="232"/>
    </row>
    <row r="13" spans="1:13">
      <c r="C13" s="61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231" t="s">
        <v>119</v>
      </c>
      <c r="B14" s="231"/>
      <c r="C14" s="233"/>
      <c r="D14" s="232">
        <v>0</v>
      </c>
      <c r="E14" s="232">
        <v>0</v>
      </c>
      <c r="F14" s="232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</row>
    <row r="15" spans="1:13" s="54" customFormat="1"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</row>
    <row r="16" spans="1:13">
      <c r="A16" s="231" t="s">
        <v>120</v>
      </c>
      <c r="B16" s="231"/>
      <c r="C16" s="233"/>
      <c r="D16" s="235" t="str">
        <f>'Cash Flow'!D8</f>
        <v>(16,872)</v>
      </c>
      <c r="E16" s="232"/>
      <c r="F16" s="232" t="str">
        <f>'Cash Flow'!E8</f>
        <v>(19,490)</v>
      </c>
      <c r="G16" s="232"/>
      <c r="H16" s="236" t="str">
        <f>'Cash Flow'!F8</f>
        <v>(158,483)</v>
      </c>
      <c r="I16" s="236"/>
      <c r="J16" s="236" t="str">
        <f>'Cash Flow'!G8</f>
        <v>(77,072)</v>
      </c>
      <c r="K16" s="236"/>
      <c r="L16" s="236" t="str">
        <f>'Cash Flow'!H8</f>
        <v>(1,273)</v>
      </c>
      <c r="M16" s="236"/>
    </row>
    <row r="17" spans="1:17"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7">
      <c r="A18" s="231"/>
      <c r="B18" s="231"/>
      <c r="C18" s="234"/>
      <c r="D18" s="232">
        <f>('Balance Sheet'!F10 -'Balance Sheet'!F12)-'Balance Sheet'!F16</f>
        <v>101970</v>
      </c>
      <c r="E18" s="232"/>
      <c r="F18" s="232">
        <f>('Balance Sheet'!H10 -'Balance Sheet'!H12)-'Balance Sheet'!H16</f>
        <v>95305</v>
      </c>
      <c r="G18" s="232"/>
      <c r="H18" s="232">
        <f>('Balance Sheet'!J10 -'Balance Sheet'!J12)-'Balance Sheet'!J16</f>
        <v>101284</v>
      </c>
      <c r="I18" s="232"/>
      <c r="J18" s="232">
        <f>('Balance Sheet'!L10 -'Balance Sheet'!L12)-'Balance Sheet'!L16</f>
        <v>2408</v>
      </c>
      <c r="K18" s="232"/>
      <c r="L18" s="232">
        <f>Q18</f>
        <v>-22514</v>
      </c>
      <c r="M18" s="232"/>
      <c r="N18" s="60" t="s">
        <v>121</v>
      </c>
      <c r="Q18" s="237">
        <f>('Balance Sheet'!N10 -'Balance Sheet'!N12)-'Balance Sheet'!N16</f>
        <v>-22514</v>
      </c>
    </row>
    <row r="19" spans="1:17" ht="12.75">
      <c r="A19" s="231"/>
      <c r="B19" s="231"/>
      <c r="C19" s="234"/>
      <c r="D19" s="232">
        <f>D18-F18</f>
        <v>6665</v>
      </c>
      <c r="E19" s="232"/>
      <c r="F19" s="232">
        <f>F18-H18</f>
        <v>-5979</v>
      </c>
      <c r="G19" s="232"/>
      <c r="H19" s="232">
        <f>H18-J18</f>
        <v>98876</v>
      </c>
      <c r="I19" s="232"/>
      <c r="J19" s="232">
        <f>J18-L18</f>
        <v>24922</v>
      </c>
      <c r="K19" s="232"/>
      <c r="L19" s="232"/>
      <c r="M19" s="232"/>
      <c r="Q19" s="237"/>
    </row>
    <row r="20" spans="1:17" ht="12.75">
      <c r="C20" s="238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Q20" s="237"/>
    </row>
    <row r="21" spans="1:17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</row>
    <row r="22" spans="1:17" ht="12.75">
      <c r="A22" s="68" t="s">
        <v>122</v>
      </c>
      <c r="B22" s="68"/>
      <c r="C22" s="69"/>
      <c r="D22" s="53" cm="1">
        <f t="array" ref="D22">SUM(D8:D16+D19)</f>
        <v>33703</v>
      </c>
      <c r="E22" s="53"/>
      <c r="F22" s="240" cm="1">
        <f t="array" ref="F22">SUM(F8:F12+F16+F19)</f>
        <v>-175831</v>
      </c>
      <c r="G22" s="53"/>
      <c r="H22" s="240">
        <f>SUM(H8+H10+H12+H16+H19)</f>
        <v>-47567</v>
      </c>
      <c r="I22" s="53"/>
      <c r="J22" s="240">
        <f>J8+J10+J12+J16+J19</f>
        <v>-104872</v>
      </c>
      <c r="K22" s="53"/>
      <c r="L22" s="53">
        <f>L8+L10+L12+L16+L18</f>
        <v>9749</v>
      </c>
      <c r="M22" s="53"/>
    </row>
    <row r="23" spans="1:17">
      <c r="A23" s="80" t="s">
        <v>123</v>
      </c>
      <c r="B23" s="80"/>
      <c r="C23" s="80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7">
      <c r="A24" s="60" t="s">
        <v>124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6" spans="1:17">
      <c r="A26" s="64" t="s">
        <v>125</v>
      </c>
      <c r="B26" s="65"/>
      <c r="C26" s="244">
        <f>'WACC Calculation'!C11</f>
        <v>0.13245000000000001</v>
      </c>
    </row>
    <row r="27" spans="1:17">
      <c r="A27" s="70" t="s">
        <v>126</v>
      </c>
      <c r="B27" s="62"/>
      <c r="C27" s="245">
        <v>2.5000000000000001E-2</v>
      </c>
    </row>
    <row r="28" spans="1:17">
      <c r="A28" s="71"/>
      <c r="C28" s="66"/>
    </row>
    <row r="29" spans="1:17">
      <c r="A29" s="71" t="s">
        <v>127</v>
      </c>
      <c r="C29" s="247">
        <v>1</v>
      </c>
      <c r="D29" s="60">
        <v>2</v>
      </c>
      <c r="E29" s="251">
        <v>3</v>
      </c>
      <c r="F29" s="60">
        <v>4</v>
      </c>
      <c r="G29" s="251">
        <v>5</v>
      </c>
    </row>
    <row r="30" spans="1:17" ht="12.75">
      <c r="A30" s="70" t="s">
        <v>128</v>
      </c>
      <c r="B30" s="62"/>
      <c r="C30" s="248">
        <f>1/(1+C26)</f>
        <v>0.88304119387169411</v>
      </c>
      <c r="D30" s="246">
        <f>1/(1+C26)^2</f>
        <v>0.77976175007434689</v>
      </c>
      <c r="E30" s="248">
        <f>(1/(1+C26))^3</f>
        <v>0.68856174672113279</v>
      </c>
      <c r="F30" s="246">
        <f>1/(1+C26)^4</f>
        <v>0.60802838687900829</v>
      </c>
      <c r="G30" s="248">
        <f>1/(1+C26)^5</f>
        <v>0.53691411265751976</v>
      </c>
      <c r="H30" s="246"/>
    </row>
    <row r="31" spans="1:17" ht="12.75">
      <c r="A31" s="71" t="s">
        <v>129</v>
      </c>
      <c r="C31" s="248">
        <f>C30*0.54</f>
        <v>0.47684224469071484</v>
      </c>
      <c r="D31" s="246">
        <f t="shared" ref="D31:G31" si="1">D30*0.54</f>
        <v>0.42107134504014737</v>
      </c>
      <c r="E31" s="248">
        <f t="shared" si="1"/>
        <v>0.37182334322941174</v>
      </c>
      <c r="F31" s="246">
        <f t="shared" si="1"/>
        <v>0.32833532891466449</v>
      </c>
      <c r="G31" s="248">
        <f t="shared" si="1"/>
        <v>0.28993362083506069</v>
      </c>
      <c r="H31" s="84"/>
      <c r="I31" s="84"/>
      <c r="J31" s="84"/>
    </row>
    <row r="32" spans="1:17" ht="12.75">
      <c r="A32" s="71"/>
      <c r="C32" s="249"/>
      <c r="E32" s="251"/>
      <c r="F32" s="84"/>
      <c r="G32" s="252"/>
      <c r="H32" s="84"/>
      <c r="I32" s="84"/>
      <c r="J32" s="84"/>
    </row>
    <row r="33" spans="1:21" ht="12.75">
      <c r="A33" s="71" t="s">
        <v>130</v>
      </c>
      <c r="C33" s="254">
        <f>SUM(C40:G40)</f>
        <v>126200.165968136</v>
      </c>
      <c r="E33" s="251"/>
      <c r="F33" s="84"/>
      <c r="G33" s="252"/>
      <c r="H33" s="84"/>
      <c r="I33" s="84"/>
      <c r="J33" s="84"/>
    </row>
    <row r="34" spans="1:21" ht="12.75">
      <c r="A34" s="71"/>
      <c r="C34" s="249"/>
      <c r="E34" s="251"/>
      <c r="F34" s="84"/>
      <c r="G34" s="252"/>
      <c r="H34" s="84"/>
      <c r="I34" s="84"/>
      <c r="J34" s="84"/>
    </row>
    <row r="35" spans="1:21" ht="12.75">
      <c r="A35" s="70" t="s">
        <v>131</v>
      </c>
      <c r="B35" s="62"/>
      <c r="C35" s="250">
        <f>(G39*1.03)/(0.1)</f>
        <v>392758.06529024302</v>
      </c>
      <c r="D35" s="86"/>
      <c r="E35" s="251"/>
      <c r="G35" s="251"/>
    </row>
    <row r="36" spans="1:21">
      <c r="A36" s="71" t="s">
        <v>132</v>
      </c>
      <c r="C36" s="249">
        <f>C35*G30</f>
        <v>210877.34811439505</v>
      </c>
      <c r="E36" s="251"/>
      <c r="G36" s="251"/>
    </row>
    <row r="37" spans="1:21" ht="12.75">
      <c r="A37" s="60" t="s">
        <v>133</v>
      </c>
      <c r="C37" s="251"/>
      <c r="E37" s="251"/>
      <c r="G37" s="251"/>
      <c r="Q37" s="257"/>
      <c r="R37" s="257"/>
      <c r="S37" s="257"/>
      <c r="T37" s="257"/>
      <c r="U37" s="257"/>
    </row>
    <row r="38" spans="1:21">
      <c r="C38" s="251"/>
      <c r="E38" s="251"/>
      <c r="G38" s="251"/>
      <c r="P38" s="73"/>
      <c r="Q38" s="83"/>
      <c r="R38" s="83"/>
      <c r="S38" s="83"/>
      <c r="T38" s="83"/>
      <c r="U38" s="83"/>
    </row>
    <row r="39" spans="1:21" ht="12.75">
      <c r="A39" s="60" t="s">
        <v>122</v>
      </c>
      <c r="C39" s="253">
        <f>33703*(1+C27)</f>
        <v>34545.574999999997</v>
      </c>
      <c r="D39" s="237">
        <f>C39*(1+C27)</f>
        <v>35409.214374999996</v>
      </c>
      <c r="E39" s="253">
        <f>D39*(1+C27)</f>
        <v>36294.444734374993</v>
      </c>
      <c r="F39" s="237">
        <f>E39*(1+C27)</f>
        <v>37201.805852734367</v>
      </c>
      <c r="G39" s="253">
        <f>F39*(1+C27)</f>
        <v>38131.850999052724</v>
      </c>
      <c r="O39" s="256"/>
      <c r="P39" s="91"/>
      <c r="Q39" s="74"/>
      <c r="R39" s="41"/>
      <c r="S39" s="41"/>
      <c r="T39" s="41"/>
      <c r="U39" s="22"/>
    </row>
    <row r="40" spans="1:21" ht="12.75">
      <c r="A40" s="60" t="s">
        <v>134</v>
      </c>
      <c r="C40" s="251">
        <f>C39*C30</f>
        <v>30505.165790984145</v>
      </c>
      <c r="D40" s="60">
        <f>D39*D30</f>
        <v>27610.750969807719</v>
      </c>
      <c r="E40" s="251">
        <f>E39*E30</f>
        <v>24990.966262574864</v>
      </c>
      <c r="F40" s="60">
        <f>F39*F30</f>
        <v>22619.754001624126</v>
      </c>
      <c r="G40" s="251">
        <f>G39*G30</f>
        <v>20473.528943145153</v>
      </c>
      <c r="O40" s="256"/>
      <c r="P40" s="91"/>
      <c r="Q40" s="75"/>
      <c r="R40" s="78"/>
      <c r="S40" s="78"/>
      <c r="T40" s="78"/>
      <c r="U40" s="24"/>
    </row>
    <row r="41" spans="1:21" ht="12.75">
      <c r="O41" s="256"/>
      <c r="P41" s="91"/>
      <c r="Q41" s="75"/>
      <c r="R41" s="78"/>
      <c r="S41" s="79"/>
      <c r="T41" s="78"/>
      <c r="U41" s="24"/>
    </row>
    <row r="42" spans="1:21" ht="12.75">
      <c r="A42" s="60" t="s">
        <v>135</v>
      </c>
      <c r="C42" s="258">
        <f>C33+C36</f>
        <v>337077.51408253104</v>
      </c>
      <c r="O42" s="256"/>
      <c r="P42" s="91"/>
      <c r="Q42" s="75"/>
      <c r="R42" s="78"/>
      <c r="S42" s="78"/>
      <c r="T42" s="78"/>
      <c r="U42" s="24"/>
    </row>
    <row r="43" spans="1:21" ht="12.75">
      <c r="O43" s="256"/>
      <c r="P43" s="91"/>
      <c r="Q43" s="76"/>
      <c r="R43" s="77"/>
      <c r="S43" s="77"/>
      <c r="T43" s="77"/>
      <c r="U43" s="72"/>
    </row>
    <row r="44" spans="1:21" ht="12.75">
      <c r="A44" s="60" t="s">
        <v>136</v>
      </c>
      <c r="C44" s="258">
        <f>C42+'Balance Sheet'!F12</f>
        <v>623834.51408253098</v>
      </c>
    </row>
    <row r="45" spans="1:21" ht="12.75"/>
    <row r="46" spans="1:21" ht="12.75">
      <c r="A46" s="60" t="s">
        <v>137</v>
      </c>
      <c r="C46" s="237">
        <v>3.96</v>
      </c>
    </row>
    <row r="47" spans="1:21" ht="12.75"/>
    <row r="48" spans="1:21" ht="12.75"/>
    <row r="49" ht="12.75"/>
    <row r="50" ht="12.75"/>
  </sheetData>
  <mergeCells count="2">
    <mergeCell ref="O39:O43"/>
    <mergeCell ref="Q37:U37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7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V12"/>
  <sheetViews>
    <sheetView showGridLines="0" tabSelected="1" zoomScaleSheetLayoutView="100" workbookViewId="0">
      <selection activeCell="G6" sqref="G5:V6"/>
    </sheetView>
  </sheetViews>
  <sheetFormatPr defaultColWidth="8.85546875" defaultRowHeight="12.95"/>
  <cols>
    <col min="1" max="1" width="3.28515625" style="1" customWidth="1"/>
    <col min="2" max="2" width="20.28515625" style="1" bestFit="1" customWidth="1"/>
    <col min="3" max="16384" width="8.85546875" style="1"/>
  </cols>
  <sheetData>
    <row r="2" spans="2:22" ht="12.75">
      <c r="B2" s="58" t="s">
        <v>138</v>
      </c>
      <c r="F2" s="58"/>
      <c r="K2" s="58"/>
      <c r="O2" s="58"/>
      <c r="T2" s="58"/>
    </row>
    <row r="4" spans="2:22" ht="12.75">
      <c r="B4" s="54" t="s">
        <v>139</v>
      </c>
      <c r="C4" s="243">
        <v>0</v>
      </c>
      <c r="F4" s="54"/>
      <c r="G4" s="243"/>
      <c r="K4" s="54"/>
      <c r="L4" s="243"/>
      <c r="O4" s="54"/>
      <c r="P4" s="243"/>
      <c r="T4" s="54"/>
      <c r="U4" s="243"/>
    </row>
    <row r="5" spans="2:22">
      <c r="B5" s="1" t="s">
        <v>140</v>
      </c>
      <c r="C5" s="241">
        <v>4.4999999999999998E-2</v>
      </c>
      <c r="G5" s="241"/>
      <c r="H5" s="261"/>
      <c r="I5" s="261"/>
      <c r="J5" s="261"/>
      <c r="K5" s="261"/>
      <c r="L5" s="241"/>
      <c r="M5" s="261"/>
      <c r="N5" s="261"/>
      <c r="O5" s="261"/>
      <c r="P5" s="241"/>
      <c r="Q5" s="261"/>
      <c r="R5" s="261"/>
      <c r="S5" s="261"/>
      <c r="T5" s="261"/>
      <c r="U5" s="241"/>
      <c r="V5" s="261"/>
    </row>
    <row r="6" spans="2:22" ht="12.75">
      <c r="B6" s="54" t="s">
        <v>141</v>
      </c>
      <c r="C6" s="241">
        <f>(C5+1.59*5.5%)</f>
        <v>0.13245000000000001</v>
      </c>
      <c r="F6" s="54"/>
      <c r="G6" s="241"/>
      <c r="H6" s="261"/>
      <c r="I6" s="261"/>
      <c r="J6" s="261"/>
      <c r="K6" s="60"/>
      <c r="L6" s="241"/>
      <c r="M6" s="261"/>
      <c r="N6" s="261"/>
      <c r="O6" s="60"/>
      <c r="P6" s="241"/>
      <c r="Q6" s="261"/>
      <c r="R6" s="261"/>
      <c r="S6" s="261"/>
      <c r="T6" s="60"/>
      <c r="U6" s="241"/>
      <c r="V6" s="261"/>
    </row>
    <row r="7" spans="2:22" ht="15">
      <c r="B7" s="54" t="s">
        <v>142</v>
      </c>
      <c r="C7" s="241">
        <v>0.21</v>
      </c>
      <c r="F7" s="242"/>
      <c r="G7" s="241"/>
      <c r="K7" s="242"/>
      <c r="L7" s="241"/>
      <c r="O7" s="242"/>
      <c r="P7" s="241"/>
      <c r="T7" s="242"/>
      <c r="U7" s="241"/>
    </row>
    <row r="8" spans="2:22" ht="12.75">
      <c r="B8" s="54" t="s">
        <v>143</v>
      </c>
      <c r="C8" s="241">
        <v>0</v>
      </c>
      <c r="F8" s="54"/>
      <c r="G8" s="241"/>
      <c r="K8" s="54"/>
      <c r="L8" s="241"/>
      <c r="O8" s="54"/>
      <c r="P8" s="241"/>
      <c r="T8" s="54"/>
      <c r="U8" s="241"/>
    </row>
    <row r="9" spans="2:22" ht="12.75">
      <c r="B9" s="54" t="s">
        <v>144</v>
      </c>
      <c r="C9" s="57">
        <v>0</v>
      </c>
      <c r="F9" s="54"/>
      <c r="G9" s="57"/>
      <c r="K9" s="54"/>
      <c r="L9" s="57"/>
      <c r="O9" s="54"/>
      <c r="P9" s="57"/>
      <c r="T9" s="54"/>
      <c r="U9" s="57"/>
    </row>
    <row r="10" spans="2:22" ht="12.75">
      <c r="B10" s="54"/>
      <c r="C10" s="57"/>
      <c r="F10" s="54"/>
      <c r="G10" s="57"/>
      <c r="K10" s="54"/>
      <c r="L10" s="57"/>
      <c r="O10" s="54"/>
      <c r="P10" s="57"/>
      <c r="T10" s="54"/>
      <c r="U10" s="57"/>
    </row>
    <row r="11" spans="2:22" ht="12.75">
      <c r="B11" s="55" t="s">
        <v>125</v>
      </c>
      <c r="C11" s="56">
        <f>C6</f>
        <v>0.13245000000000001</v>
      </c>
      <c r="F11" s="259"/>
      <c r="G11" s="260"/>
      <c r="H11" s="261"/>
      <c r="I11" s="261"/>
      <c r="J11" s="261"/>
      <c r="K11" s="259"/>
      <c r="L11" s="260"/>
      <c r="M11" s="261"/>
      <c r="N11" s="261"/>
      <c r="O11" s="259"/>
      <c r="P11" s="260"/>
      <c r="Q11" s="261"/>
      <c r="R11" s="261"/>
      <c r="S11" s="261"/>
      <c r="T11" s="259"/>
      <c r="U11" s="260"/>
      <c r="V11" s="261"/>
    </row>
    <row r="12" spans="2:22" ht="12.75"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</row>
  </sheetData>
  <phoneticPr fontId="7" type="noConversion"/>
  <pageMargins left="0.75" right="0.75" top="1" bottom="1" header="0.3" footer="0.3"/>
  <pageSetup paperSize="9" orientation="portrait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4:K24"/>
  <sheetViews>
    <sheetView showGridLines="0" zoomScale="85" zoomScaleNormal="85" workbookViewId="0">
      <selection activeCell="G22" sqref="G22"/>
    </sheetView>
  </sheetViews>
  <sheetFormatPr defaultColWidth="8.85546875" defaultRowHeight="12.95"/>
  <cols>
    <col min="1" max="2" width="8.85546875" style="1"/>
    <col min="3" max="3" width="26.28515625" style="1" bestFit="1" customWidth="1"/>
    <col min="4" max="5" width="8.85546875" style="1"/>
    <col min="6" max="6" width="5.42578125" style="1" bestFit="1" customWidth="1"/>
    <col min="7" max="7" width="42.85546875" style="1" bestFit="1" customWidth="1"/>
    <col min="8" max="8" width="5.42578125" style="1" bestFit="1" customWidth="1"/>
    <col min="9" max="9" width="12.7109375" style="1" bestFit="1" customWidth="1"/>
    <col min="10" max="16384" width="8.85546875" style="1"/>
  </cols>
  <sheetData>
    <row r="4" spans="3:10">
      <c r="C4" s="1" t="s">
        <v>145</v>
      </c>
      <c r="D4" s="1">
        <f>+DCF!$D$8</f>
        <v>-4705</v>
      </c>
    </row>
    <row r="6" spans="3:10">
      <c r="C6" s="88" t="s">
        <v>146</v>
      </c>
      <c r="D6" s="87">
        <f>+G6*J6</f>
        <v>-47050</v>
      </c>
      <c r="E6" s="87">
        <f>+F6-D6</f>
        <v>-9410</v>
      </c>
      <c r="F6" s="87">
        <f>+H6*J6</f>
        <v>-56460</v>
      </c>
      <c r="G6" s="85">
        <v>10</v>
      </c>
      <c r="H6" s="85">
        <v>12</v>
      </c>
      <c r="I6" s="1" t="s">
        <v>147</v>
      </c>
      <c r="J6" s="1">
        <f>+DCF!D8</f>
        <v>-4705</v>
      </c>
    </row>
    <row r="7" spans="3:10">
      <c r="C7" s="1" t="s">
        <v>148</v>
      </c>
      <c r="D7" s="87">
        <v>550</v>
      </c>
      <c r="E7" s="87">
        <f>+F7-D7</f>
        <v>200</v>
      </c>
      <c r="F7" s="87">
        <v>750</v>
      </c>
      <c r="G7" s="1" t="s">
        <v>149</v>
      </c>
    </row>
    <row r="8" spans="3:10">
      <c r="C8" s="1" t="s">
        <v>150</v>
      </c>
      <c r="D8" s="87">
        <v>510</v>
      </c>
      <c r="E8" s="87">
        <f>+F8-D8</f>
        <v>70</v>
      </c>
      <c r="F8" s="87">
        <v>580</v>
      </c>
      <c r="G8" s="1" t="s">
        <v>151</v>
      </c>
    </row>
    <row r="9" spans="3:10">
      <c r="C9" s="1" t="s">
        <v>152</v>
      </c>
      <c r="D9" s="87">
        <v>440</v>
      </c>
      <c r="E9" s="87">
        <f>+F9-D9</f>
        <v>50</v>
      </c>
      <c r="F9" s="87">
        <v>490</v>
      </c>
      <c r="G9" s="1" t="s">
        <v>153</v>
      </c>
    </row>
    <row r="14" spans="3:10">
      <c r="C14" s="1" t="str">
        <f>+C9</f>
        <v>LBO (5 year exit)</v>
      </c>
      <c r="D14" s="1">
        <f>+D9</f>
        <v>440</v>
      </c>
      <c r="E14" s="1">
        <f>+E9</f>
        <v>50</v>
      </c>
    </row>
    <row r="15" spans="3:10">
      <c r="C15" s="1" t="str">
        <f>+C8</f>
        <v>FCFE</v>
      </c>
      <c r="D15" s="1">
        <f>+D8</f>
        <v>510</v>
      </c>
      <c r="E15" s="1">
        <f>+E8</f>
        <v>70</v>
      </c>
    </row>
    <row r="16" spans="3:10">
      <c r="C16" s="1" t="str">
        <f>+C7</f>
        <v>DCF</v>
      </c>
      <c r="D16" s="1">
        <f>+D7</f>
        <v>550</v>
      </c>
      <c r="E16" s="1">
        <f>+E7</f>
        <v>200</v>
      </c>
    </row>
    <row r="17" spans="3:11">
      <c r="C17" s="1" t="str">
        <f>+C6</f>
        <v>Trading Comps FY+1 EBITDA</v>
      </c>
      <c r="D17" s="1">
        <f>+D6</f>
        <v>-47050</v>
      </c>
      <c r="E17" s="1">
        <f>+E6</f>
        <v>-9410</v>
      </c>
    </row>
    <row r="21" spans="3:11">
      <c r="C21" s="88" t="s">
        <v>146</v>
      </c>
      <c r="D21" s="85">
        <f>D6/$D$4</f>
        <v>10</v>
      </c>
      <c r="F21" s="85">
        <f>F6/$D$4</f>
        <v>12</v>
      </c>
      <c r="J21" s="1">
        <v>400</v>
      </c>
      <c r="K21" s="1">
        <v>750</v>
      </c>
    </row>
    <row r="22" spans="3:11">
      <c r="C22" s="1" t="s">
        <v>148</v>
      </c>
      <c r="D22" s="85">
        <f>D7/$D$4</f>
        <v>-0.11689691817215728</v>
      </c>
      <c r="F22" s="85">
        <f>F7/$D$4</f>
        <v>-0.1594048884165781</v>
      </c>
      <c r="J22" s="1">
        <f>+J21/DCF!$D$8</f>
        <v>-8.501594048884166E-2</v>
      </c>
      <c r="K22" s="1">
        <f>+K21/DCF!$D$8</f>
        <v>-0.1594048884165781</v>
      </c>
    </row>
    <row r="23" spans="3:11">
      <c r="C23" s="1" t="s">
        <v>150</v>
      </c>
      <c r="D23" s="85">
        <f>D8/$D$4</f>
        <v>-0.10839532412327312</v>
      </c>
      <c r="F23" s="85">
        <f>F8/$D$4</f>
        <v>-0.12327311370882041</v>
      </c>
    </row>
    <row r="24" spans="3:11">
      <c r="C24" s="1" t="s">
        <v>152</v>
      </c>
      <c r="D24" s="85">
        <f>D9/$D$4</f>
        <v>-9.3517534537725822E-2</v>
      </c>
      <c r="F24" s="85">
        <f>F9/$D$4</f>
        <v>-0.10414452709883103</v>
      </c>
    </row>
  </sheetData>
  <pageMargins left="0.75" right="0.75" top="1" bottom="1" header="0.3" footer="0.3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H4"/>
  <sheetViews>
    <sheetView workbookViewId="0">
      <selection activeCell="G22" sqref="G22"/>
    </sheetView>
  </sheetViews>
  <sheetFormatPr defaultColWidth="8.85546875" defaultRowHeight="14.85"/>
  <sheetData>
    <row r="2" spans="1:8">
      <c r="C2">
        <v>300</v>
      </c>
      <c r="D2">
        <f>+C2+100</f>
        <v>400</v>
      </c>
      <c r="E2">
        <f>+D2+100</f>
        <v>500</v>
      </c>
      <c r="F2">
        <f>+E2+100</f>
        <v>600</v>
      </c>
      <c r="G2">
        <f>+F2+100</f>
        <v>700</v>
      </c>
      <c r="H2">
        <f>+G2+100</f>
        <v>800</v>
      </c>
    </row>
    <row r="3" spans="1:8">
      <c r="A3" t="s">
        <v>145</v>
      </c>
      <c r="B3">
        <f>+DCF!$D$8</f>
        <v>-4705</v>
      </c>
      <c r="C3" s="85">
        <f t="shared" ref="C3:H3" si="0">C2/$B$3</f>
        <v>-6.3761955366631248E-2</v>
      </c>
      <c r="D3" s="85">
        <f t="shared" si="0"/>
        <v>-8.501594048884166E-2</v>
      </c>
      <c r="E3" s="85">
        <f t="shared" si="0"/>
        <v>-0.10626992561105207</v>
      </c>
      <c r="F3" s="85">
        <f t="shared" si="0"/>
        <v>-0.1275239107332625</v>
      </c>
      <c r="G3" s="85">
        <f t="shared" si="0"/>
        <v>-0.14877789585547291</v>
      </c>
      <c r="H3" s="85">
        <f t="shared" si="0"/>
        <v>-0.17003188097768332</v>
      </c>
    </row>
    <row r="4" spans="1:8">
      <c r="A4" t="s">
        <v>154</v>
      </c>
      <c r="B4">
        <f>+DCF!$E$8</f>
        <v>0</v>
      </c>
      <c r="C4" s="85" t="e">
        <f t="shared" ref="C4:H4" si="1">C2/$B$4</f>
        <v>#DIV/0!</v>
      </c>
      <c r="D4" s="85" t="e">
        <f t="shared" si="1"/>
        <v>#DIV/0!</v>
      </c>
      <c r="E4" s="85" t="e">
        <f t="shared" si="1"/>
        <v>#DIV/0!</v>
      </c>
      <c r="F4" s="85" t="e">
        <f t="shared" si="1"/>
        <v>#DIV/0!</v>
      </c>
      <c r="G4" s="85" t="e">
        <f t="shared" si="1"/>
        <v>#DIV/0!</v>
      </c>
      <c r="H4" s="85" t="e">
        <f t="shared" si="1"/>
        <v>#DIV/0!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2016-03-20T09:22:44Z</dcterms:created>
  <dcterms:modified xsi:type="dcterms:W3CDTF">2026-01-03T21:01:04Z</dcterms:modified>
  <cp:category/>
  <cp:contentStatus/>
</cp:coreProperties>
</file>